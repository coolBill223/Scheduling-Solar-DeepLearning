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/>
  <mc:AlternateContent xmlns:mc="http://schemas.openxmlformats.org/markup-compatibility/2006">
    <mc:Choice Requires="x15">
      <x15ac:absPath xmlns:x15ac="http://schemas.microsoft.com/office/spreadsheetml/2010/11/ac" url="C:\Users\Adam\Downloads\"/>
    </mc:Choice>
  </mc:AlternateContent>
  <xr:revisionPtr revIDLastSave="37" documentId="8_{C20053C7-79BB-4952-B81B-06128927E857}" xr6:coauthVersionLast="47" xr6:coauthVersionMax="47" xr10:uidLastSave="{95B4996D-354C-4FA3-9FD8-B67235E4BC05}"/>
  <bookViews>
    <workbookView xWindow="28680" yWindow="-120" windowWidth="29040" windowHeight="15720" xr2:uid="{00000000-000D-0000-FFFF-FFFF00000000}"/>
  </bookViews>
  <sheets>
    <sheet name="Working Data" sheetId="6" r:id="rId1"/>
    <sheet name="Technical Analysis" sheetId="3" state="hidden" r:id="rId2"/>
    <sheet name="CORE METRICS +" sheetId="4" state="hidden" r:id="rId3"/>
    <sheet name="DTS Dashboard" sheetId="5" state="hidden" r:id="rId4"/>
  </sheets>
  <definedNames>
    <definedName name="Z_0C919341_258F_4AF3_8A56_268B72B33689_.wvu.FilterData" localSheetId="0" hidden="1">'Working Data'!$A$1</definedName>
    <definedName name="Z_32E7FD16_F8BE_4F2A_9F35_A1460ACA06A5_.wvu.FilterData" localSheetId="0" hidden="1">'Working Data'!$A$1</definedName>
    <definedName name="Z_7C804074_6DA7_4BC7_B65A_318DB7A8DAB9_.wvu.FilterData" localSheetId="0" hidden="1">'Working Data'!$D$2:$E$3</definedName>
    <definedName name="Z_87F4D95B_5F8B_44EE_97CD_64E7DFBCE2DB_.wvu.FilterData" localSheetId="0" hidden="1">'Working Data'!$D$2:$E$3</definedName>
    <definedName name="Z_C9B7AB2E_9BC4_41AF_B464_793C7426A8A8_.wvu.FilterData" localSheetId="0" hidden="1">'Working Data'!$D$1:$E$3</definedName>
  </definedNames>
  <calcPr calcId="191028"/>
  <customWorkbookViews>
    <customWorkbookView name="Filter 1" guid="{32E7FD16-F8BE-4F2A-9F35-A1460ACA06A5}" maximized="1" windowWidth="0" windowHeight="0" activeSheetId="0"/>
    <customWorkbookView name="Filter 3" guid="{0C919341-258F-4AF3-8A56-268B72B33689}" maximized="1" windowWidth="0" windowHeight="0" activeSheetId="0"/>
    <customWorkbookView name="Filter 2" guid="{87F4D95B-5F8B-44EE-97CD-64E7DFBCE2DB}" maximized="1" windowWidth="0" windowHeight="0" activeSheetId="0"/>
    <customWorkbookView name="Filter 5" guid="{7C804074-6DA7-4BC7-B65A-318DB7A8DAB9}" maximized="1" windowWidth="0" windowHeight="0" activeSheetId="0"/>
    <customWorkbookView name="Filter 4" guid="{C9B7AB2E-9BC4-41AF-B464-793C7426A8A8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80" i="6" l="1"/>
  <c r="AD280" i="6"/>
  <c r="AE280" i="6" s="1"/>
  <c r="AG279" i="6"/>
  <c r="AD279" i="6"/>
  <c r="AE279" i="6" s="1"/>
  <c r="AG278" i="6"/>
  <c r="AD278" i="6"/>
  <c r="AE278" i="6" s="1"/>
  <c r="AG277" i="6"/>
  <c r="AD277" i="6"/>
  <c r="AE277" i="6" s="1"/>
  <c r="AG276" i="6"/>
  <c r="AD276" i="6"/>
  <c r="AE276" i="6" s="1"/>
  <c r="AG275" i="6"/>
  <c r="AD275" i="6"/>
  <c r="AE275" i="6" s="1"/>
  <c r="AG274" i="6"/>
  <c r="AD274" i="6"/>
  <c r="AE274" i="6" s="1"/>
  <c r="AG273" i="6"/>
  <c r="AD273" i="6"/>
  <c r="AE273" i="6" s="1"/>
  <c r="AG272" i="6"/>
  <c r="AD272" i="6"/>
  <c r="AE272" i="6" s="1"/>
  <c r="AG271" i="6"/>
  <c r="AD271" i="6"/>
  <c r="AE271" i="6" s="1"/>
  <c r="AG270" i="6"/>
  <c r="AD270" i="6"/>
  <c r="AE270" i="6" s="1"/>
  <c r="AG269" i="6"/>
  <c r="AD269" i="6"/>
  <c r="AE269" i="6" s="1"/>
  <c r="AG268" i="6"/>
  <c r="AD268" i="6"/>
  <c r="AE268" i="6" s="1"/>
  <c r="AG267" i="6"/>
  <c r="AD267" i="6"/>
  <c r="AE267" i="6" s="1"/>
  <c r="AG266" i="6"/>
  <c r="AD266" i="6"/>
  <c r="AE266" i="6" s="1"/>
  <c r="AG265" i="6"/>
  <c r="AD265" i="6"/>
  <c r="AE265" i="6" s="1"/>
  <c r="AG264" i="6"/>
  <c r="AD264" i="6"/>
  <c r="AE264" i="6" s="1"/>
  <c r="AG263" i="6"/>
  <c r="AD263" i="6"/>
  <c r="AE263" i="6" s="1"/>
  <c r="AG262" i="6"/>
  <c r="AD262" i="6"/>
  <c r="AE262" i="6" s="1"/>
  <c r="AG261" i="6"/>
  <c r="AD261" i="6"/>
  <c r="AE261" i="6" s="1"/>
  <c r="AG260" i="6"/>
  <c r="AD260" i="6"/>
  <c r="AE260" i="6" s="1"/>
  <c r="AG259" i="6"/>
  <c r="AD259" i="6"/>
  <c r="AE259" i="6" s="1"/>
  <c r="AG258" i="6"/>
  <c r="AD258" i="6"/>
  <c r="AE258" i="6" s="1"/>
  <c r="AG257" i="6"/>
  <c r="AD257" i="6"/>
  <c r="AE257" i="6" s="1"/>
  <c r="AG256" i="6"/>
  <c r="AD256" i="6"/>
  <c r="AE256" i="6" s="1"/>
  <c r="AG255" i="6"/>
  <c r="AD255" i="6"/>
  <c r="AE255" i="6" s="1"/>
  <c r="AG254" i="6"/>
  <c r="AD254" i="6"/>
  <c r="AE254" i="6" s="1"/>
  <c r="AG253" i="6"/>
  <c r="AD253" i="6"/>
  <c r="AE253" i="6" s="1"/>
  <c r="AG252" i="6"/>
  <c r="AD252" i="6"/>
  <c r="AE252" i="6" s="1"/>
  <c r="AG251" i="6"/>
  <c r="AD251" i="6"/>
  <c r="AE251" i="6" s="1"/>
  <c r="AG250" i="6"/>
  <c r="AD250" i="6"/>
  <c r="AE250" i="6" s="1"/>
  <c r="AG249" i="6"/>
  <c r="AD249" i="6"/>
  <c r="AE249" i="6" s="1"/>
  <c r="AG248" i="6"/>
  <c r="AD248" i="6"/>
  <c r="AE248" i="6" s="1"/>
  <c r="AG247" i="6"/>
  <c r="AD247" i="6"/>
  <c r="AE247" i="6" s="1"/>
  <c r="AG246" i="6"/>
  <c r="AD246" i="6"/>
  <c r="AE246" i="6" s="1"/>
  <c r="AG245" i="6"/>
  <c r="AD245" i="6"/>
  <c r="AE245" i="6" s="1"/>
  <c r="AG244" i="6"/>
  <c r="AD244" i="6"/>
  <c r="AE244" i="6" s="1"/>
  <c r="AG243" i="6"/>
  <c r="AD243" i="6"/>
  <c r="AE243" i="6" s="1"/>
  <c r="AG242" i="6"/>
  <c r="AD242" i="6"/>
  <c r="AE242" i="6" s="1"/>
  <c r="AG241" i="6"/>
  <c r="AD241" i="6"/>
  <c r="AE241" i="6" s="1"/>
  <c r="AG240" i="6"/>
  <c r="AD240" i="6"/>
  <c r="AE240" i="6" s="1"/>
  <c r="AG239" i="6"/>
  <c r="AD239" i="6"/>
  <c r="AE239" i="6" s="1"/>
  <c r="AG238" i="6"/>
  <c r="AD238" i="6"/>
  <c r="AE238" i="6" s="1"/>
  <c r="AG237" i="6"/>
  <c r="AD237" i="6"/>
  <c r="AE237" i="6" s="1"/>
  <c r="AG236" i="6"/>
  <c r="AD236" i="6"/>
  <c r="AE236" i="6" s="1"/>
  <c r="AG235" i="6"/>
  <c r="AD235" i="6"/>
  <c r="AE235" i="6" s="1"/>
  <c r="AG234" i="6"/>
  <c r="AD234" i="6"/>
  <c r="AE234" i="6" s="1"/>
  <c r="AG233" i="6"/>
  <c r="AD233" i="6"/>
  <c r="AE233" i="6" s="1"/>
  <c r="AG232" i="6"/>
  <c r="AD232" i="6"/>
  <c r="AE232" i="6" s="1"/>
  <c r="AG231" i="6"/>
  <c r="AD231" i="6"/>
  <c r="AE231" i="6" s="1"/>
  <c r="AG230" i="6"/>
  <c r="AD230" i="6"/>
  <c r="AE230" i="6" s="1"/>
  <c r="AG229" i="6"/>
  <c r="AD229" i="6"/>
  <c r="AE229" i="6" s="1"/>
  <c r="AG228" i="6"/>
  <c r="AD228" i="6"/>
  <c r="AE228" i="6" s="1"/>
  <c r="AG227" i="6"/>
  <c r="AD227" i="6"/>
  <c r="AE227" i="6" s="1"/>
  <c r="AG226" i="6"/>
  <c r="AD226" i="6"/>
  <c r="AE226" i="6" s="1"/>
  <c r="AG225" i="6"/>
  <c r="AD225" i="6"/>
  <c r="AE225" i="6" s="1"/>
  <c r="AG224" i="6"/>
  <c r="AD224" i="6"/>
  <c r="AE224" i="6" s="1"/>
  <c r="AG223" i="6"/>
  <c r="AD223" i="6"/>
  <c r="AE223" i="6" s="1"/>
  <c r="AG222" i="6"/>
  <c r="AD222" i="6"/>
  <c r="AE222" i="6" s="1"/>
  <c r="AG221" i="6"/>
  <c r="AD221" i="6"/>
  <c r="AE221" i="6" s="1"/>
  <c r="AG220" i="6"/>
  <c r="AD220" i="6"/>
  <c r="AE220" i="6" s="1"/>
  <c r="AG219" i="6"/>
  <c r="AD219" i="6"/>
  <c r="AE219" i="6" s="1"/>
  <c r="AG218" i="6"/>
  <c r="AD218" i="6"/>
  <c r="AE218" i="6" s="1"/>
  <c r="AG217" i="6"/>
  <c r="AD217" i="6"/>
  <c r="AE217" i="6" s="1"/>
  <c r="AG216" i="6"/>
  <c r="AD216" i="6"/>
  <c r="AE216" i="6" s="1"/>
  <c r="AG215" i="6"/>
  <c r="AD215" i="6"/>
  <c r="AE215" i="6" s="1"/>
  <c r="AG214" i="6"/>
  <c r="AD214" i="6"/>
  <c r="AE214" i="6" s="1"/>
  <c r="AG213" i="6"/>
  <c r="AD213" i="6"/>
  <c r="AE213" i="6" s="1"/>
  <c r="AG212" i="6"/>
  <c r="AD212" i="6"/>
  <c r="AE212" i="6" s="1"/>
  <c r="AG211" i="6"/>
  <c r="AD211" i="6"/>
  <c r="AE211" i="6" s="1"/>
  <c r="AG210" i="6"/>
  <c r="AD210" i="6"/>
  <c r="AE210" i="6" s="1"/>
  <c r="AG209" i="6"/>
  <c r="AD209" i="6"/>
  <c r="AE209" i="6" s="1"/>
  <c r="AG208" i="6"/>
  <c r="AD208" i="6"/>
  <c r="AE208" i="6" s="1"/>
  <c r="AG207" i="6"/>
  <c r="AD207" i="6"/>
  <c r="AE207" i="6" s="1"/>
  <c r="AG206" i="6"/>
  <c r="AD206" i="6"/>
  <c r="AE206" i="6" s="1"/>
  <c r="AG205" i="6"/>
  <c r="AD205" i="6"/>
  <c r="AE205" i="6" s="1"/>
  <c r="AG204" i="6"/>
  <c r="AD204" i="6"/>
  <c r="AE204" i="6" s="1"/>
  <c r="AG203" i="6"/>
  <c r="AD203" i="6"/>
  <c r="AE203" i="6" s="1"/>
  <c r="AG202" i="6"/>
  <c r="AD202" i="6"/>
  <c r="AE202" i="6" s="1"/>
  <c r="AG201" i="6"/>
  <c r="AD201" i="6"/>
  <c r="AE201" i="6" s="1"/>
  <c r="AG200" i="6"/>
  <c r="AD200" i="6"/>
  <c r="AE200" i="6" s="1"/>
  <c r="AG199" i="6"/>
  <c r="AD199" i="6"/>
  <c r="AE199" i="6" s="1"/>
  <c r="AG198" i="6"/>
  <c r="AD198" i="6"/>
  <c r="AE198" i="6" s="1"/>
  <c r="AG197" i="6"/>
  <c r="AD197" i="6"/>
  <c r="AE197" i="6" s="1"/>
  <c r="AG196" i="6"/>
  <c r="AD196" i="6"/>
  <c r="AE196" i="6" s="1"/>
  <c r="AG195" i="6"/>
  <c r="AD195" i="6"/>
  <c r="AE195" i="6" s="1"/>
  <c r="AG194" i="6"/>
  <c r="AD194" i="6"/>
  <c r="AE194" i="6" s="1"/>
  <c r="AG193" i="6"/>
  <c r="AD193" i="6"/>
  <c r="AE193" i="6" s="1"/>
  <c r="AG192" i="6"/>
  <c r="AD192" i="6"/>
  <c r="AE192" i="6" s="1"/>
  <c r="AG191" i="6"/>
  <c r="AD191" i="6"/>
  <c r="AE191" i="6" s="1"/>
  <c r="AG190" i="6"/>
  <c r="AD190" i="6"/>
  <c r="AE190" i="6" s="1"/>
  <c r="AG189" i="6"/>
  <c r="AD189" i="6"/>
  <c r="AE189" i="6" s="1"/>
  <c r="AG188" i="6"/>
  <c r="AD188" i="6"/>
  <c r="AE188" i="6" s="1"/>
  <c r="AG187" i="6"/>
  <c r="AD187" i="6"/>
  <c r="AE187" i="6" s="1"/>
  <c r="AG186" i="6"/>
  <c r="AD186" i="6"/>
  <c r="AE186" i="6" s="1"/>
  <c r="AG185" i="6"/>
  <c r="AD185" i="6"/>
  <c r="AE185" i="6" s="1"/>
  <c r="AG184" i="6"/>
  <c r="AD184" i="6"/>
  <c r="AE184" i="6" s="1"/>
  <c r="AG183" i="6"/>
  <c r="AD183" i="6"/>
  <c r="AE183" i="6" s="1"/>
  <c r="AG182" i="6"/>
  <c r="AD182" i="6"/>
  <c r="AE182" i="6" s="1"/>
  <c r="AG181" i="6"/>
  <c r="AD181" i="6"/>
  <c r="AE181" i="6" s="1"/>
  <c r="AG180" i="6"/>
  <c r="AD180" i="6"/>
  <c r="AE180" i="6" s="1"/>
  <c r="AG179" i="6"/>
  <c r="AD179" i="6"/>
  <c r="AE179" i="6" s="1"/>
  <c r="AG178" i="6"/>
  <c r="AD178" i="6"/>
  <c r="AE178" i="6" s="1"/>
  <c r="AG177" i="6"/>
  <c r="AD177" i="6"/>
  <c r="AE177" i="6" s="1"/>
  <c r="AG176" i="6"/>
  <c r="AD176" i="6"/>
  <c r="AE176" i="6" s="1"/>
  <c r="AG175" i="6"/>
  <c r="AD175" i="6"/>
  <c r="AE175" i="6" s="1"/>
  <c r="AG174" i="6"/>
  <c r="AD174" i="6"/>
  <c r="AE174" i="6" s="1"/>
  <c r="AG173" i="6"/>
  <c r="AD173" i="6"/>
  <c r="AE173" i="6" s="1"/>
  <c r="AG172" i="6"/>
  <c r="AD172" i="6"/>
  <c r="AE172" i="6" s="1"/>
  <c r="AG171" i="6"/>
  <c r="AD171" i="6"/>
  <c r="AE171" i="6" s="1"/>
  <c r="AG170" i="6"/>
  <c r="AD170" i="6"/>
  <c r="AE170" i="6" s="1"/>
  <c r="AG169" i="6"/>
  <c r="AD169" i="6"/>
  <c r="AE169" i="6" s="1"/>
  <c r="AG168" i="6"/>
  <c r="AD168" i="6"/>
  <c r="AE168" i="6" s="1"/>
  <c r="AG167" i="6"/>
  <c r="AD167" i="6"/>
  <c r="AE167" i="6" s="1"/>
  <c r="AG166" i="6"/>
  <c r="AD166" i="6"/>
  <c r="AE166" i="6" s="1"/>
  <c r="AG165" i="6"/>
  <c r="AD165" i="6"/>
  <c r="AE165" i="6" s="1"/>
  <c r="AG164" i="6"/>
  <c r="AD164" i="6"/>
  <c r="AE164" i="6" s="1"/>
  <c r="AG163" i="6"/>
  <c r="AD163" i="6"/>
  <c r="AE163" i="6" s="1"/>
  <c r="AG162" i="6"/>
  <c r="AD162" i="6"/>
  <c r="AE162" i="6" s="1"/>
  <c r="AG161" i="6"/>
  <c r="AD161" i="6"/>
  <c r="AE161" i="6" s="1"/>
  <c r="AG160" i="6"/>
  <c r="AD160" i="6"/>
  <c r="AE160" i="6" s="1"/>
  <c r="AG159" i="6"/>
  <c r="AD159" i="6"/>
  <c r="AE159" i="6" s="1"/>
  <c r="AG158" i="6"/>
  <c r="AD158" i="6"/>
  <c r="AE158" i="6" s="1"/>
  <c r="AG157" i="6"/>
  <c r="AD157" i="6"/>
  <c r="AE157" i="6" s="1"/>
  <c r="AG156" i="6"/>
  <c r="AD156" i="6"/>
  <c r="AE156" i="6" s="1"/>
  <c r="AG155" i="6"/>
  <c r="AD155" i="6"/>
  <c r="AE155" i="6" s="1"/>
  <c r="AG154" i="6"/>
  <c r="AD154" i="6"/>
  <c r="AE154" i="6" s="1"/>
  <c r="AG153" i="6"/>
  <c r="AD153" i="6"/>
  <c r="AE153" i="6" s="1"/>
  <c r="AG152" i="6"/>
  <c r="AD152" i="6"/>
  <c r="AE152" i="6" s="1"/>
  <c r="AG151" i="6"/>
  <c r="AD151" i="6"/>
  <c r="AE151" i="6" s="1"/>
  <c r="AG150" i="6"/>
  <c r="AD150" i="6"/>
  <c r="AE150" i="6" s="1"/>
  <c r="AG149" i="6"/>
  <c r="AD149" i="6"/>
  <c r="AE149" i="6" s="1"/>
  <c r="AG148" i="6"/>
  <c r="AD148" i="6"/>
  <c r="AE148" i="6" s="1"/>
  <c r="AG147" i="6"/>
  <c r="AD147" i="6"/>
  <c r="AE147" i="6" s="1"/>
  <c r="AG146" i="6"/>
  <c r="AD146" i="6"/>
  <c r="AE146" i="6" s="1"/>
  <c r="AG145" i="6"/>
  <c r="AD145" i="6"/>
  <c r="AE145" i="6" s="1"/>
  <c r="AG144" i="6"/>
  <c r="AD144" i="6"/>
  <c r="AE144" i="6" s="1"/>
  <c r="AG143" i="6"/>
  <c r="AD143" i="6"/>
  <c r="AE143" i="6" s="1"/>
  <c r="AG142" i="6"/>
  <c r="AD142" i="6"/>
  <c r="AE142" i="6" s="1"/>
  <c r="AG141" i="6"/>
  <c r="AD141" i="6"/>
  <c r="AE141" i="6" s="1"/>
  <c r="AG140" i="6"/>
  <c r="AD140" i="6"/>
  <c r="AE140" i="6" s="1"/>
  <c r="AG139" i="6"/>
  <c r="AD139" i="6"/>
  <c r="AE139" i="6" s="1"/>
  <c r="AG138" i="6"/>
  <c r="AD138" i="6"/>
  <c r="AE138" i="6" s="1"/>
  <c r="AG137" i="6"/>
  <c r="AD137" i="6"/>
  <c r="AE137" i="6" s="1"/>
  <c r="AG136" i="6"/>
  <c r="AD136" i="6"/>
  <c r="AE136" i="6" s="1"/>
  <c r="AG135" i="6"/>
  <c r="AD135" i="6"/>
  <c r="AE135" i="6" s="1"/>
  <c r="AG134" i="6"/>
  <c r="AD134" i="6"/>
  <c r="AE134" i="6" s="1"/>
  <c r="AG133" i="6"/>
  <c r="AD133" i="6"/>
  <c r="AE133" i="6" s="1"/>
  <c r="AG132" i="6"/>
  <c r="AD132" i="6"/>
  <c r="AE132" i="6" s="1"/>
  <c r="AG131" i="6"/>
  <c r="AD131" i="6"/>
  <c r="AE131" i="6" s="1"/>
  <c r="AG130" i="6"/>
  <c r="AD130" i="6"/>
  <c r="AE130" i="6" s="1"/>
  <c r="AG129" i="6"/>
  <c r="AD129" i="6"/>
  <c r="AE129" i="6" s="1"/>
  <c r="AG128" i="6"/>
  <c r="AD128" i="6"/>
  <c r="AE128" i="6" s="1"/>
  <c r="AG127" i="6"/>
  <c r="AD127" i="6"/>
  <c r="AE127" i="6" s="1"/>
  <c r="AG126" i="6"/>
  <c r="AD126" i="6"/>
  <c r="AE126" i="6" s="1"/>
  <c r="AG125" i="6"/>
  <c r="AD125" i="6"/>
  <c r="AE125" i="6" s="1"/>
  <c r="AG124" i="6"/>
  <c r="AD124" i="6"/>
  <c r="AE124" i="6" s="1"/>
  <c r="AG123" i="6"/>
  <c r="AD123" i="6"/>
  <c r="AE123" i="6" s="1"/>
  <c r="AG122" i="6"/>
  <c r="AD122" i="6"/>
  <c r="AE122" i="6" s="1"/>
  <c r="AG121" i="6"/>
  <c r="AD121" i="6"/>
  <c r="AE121" i="6" s="1"/>
  <c r="AG120" i="6"/>
  <c r="AD120" i="6"/>
  <c r="AE120" i="6" s="1"/>
  <c r="AG119" i="6"/>
  <c r="AD119" i="6"/>
  <c r="AE119" i="6" s="1"/>
  <c r="AG118" i="6"/>
  <c r="AD118" i="6"/>
  <c r="AE118" i="6" s="1"/>
  <c r="AG117" i="6"/>
  <c r="AD117" i="6"/>
  <c r="AE117" i="6" s="1"/>
  <c r="AG116" i="6"/>
  <c r="AD116" i="6"/>
  <c r="AE116" i="6" s="1"/>
  <c r="AG115" i="6"/>
  <c r="AD115" i="6"/>
  <c r="AE115" i="6" s="1"/>
  <c r="AG114" i="6"/>
  <c r="AD114" i="6"/>
  <c r="AE114" i="6" s="1"/>
  <c r="AG113" i="6"/>
  <c r="AD113" i="6"/>
  <c r="AE113" i="6" s="1"/>
  <c r="AG112" i="6"/>
  <c r="AD112" i="6"/>
  <c r="AE112" i="6" s="1"/>
  <c r="AG111" i="6"/>
  <c r="AD111" i="6"/>
  <c r="AE111" i="6" s="1"/>
  <c r="AG110" i="6"/>
  <c r="AD110" i="6"/>
  <c r="AE110" i="6" s="1"/>
  <c r="AG109" i="6"/>
  <c r="AD109" i="6"/>
  <c r="AE109" i="6" s="1"/>
  <c r="AG108" i="6"/>
  <c r="AD108" i="6"/>
  <c r="AE108" i="6" s="1"/>
  <c r="AG107" i="6"/>
  <c r="AD107" i="6"/>
  <c r="AE107" i="6" s="1"/>
  <c r="AG106" i="6"/>
  <c r="AD106" i="6"/>
  <c r="AE106" i="6" s="1"/>
  <c r="AG105" i="6"/>
  <c r="AD105" i="6"/>
  <c r="AE105" i="6" s="1"/>
  <c r="AG104" i="6"/>
  <c r="AD104" i="6"/>
  <c r="AE104" i="6" s="1"/>
  <c r="AG103" i="6"/>
  <c r="AD103" i="6"/>
  <c r="AE103" i="6" s="1"/>
  <c r="AG102" i="6"/>
  <c r="AD102" i="6"/>
  <c r="AE102" i="6" s="1"/>
  <c r="AG101" i="6"/>
  <c r="AD101" i="6"/>
  <c r="AE101" i="6" s="1"/>
  <c r="AG100" i="6"/>
  <c r="AD100" i="6"/>
  <c r="AE100" i="6" s="1"/>
  <c r="AG99" i="6"/>
  <c r="AD99" i="6"/>
  <c r="AE99" i="6" s="1"/>
  <c r="AG98" i="6"/>
  <c r="AD98" i="6"/>
  <c r="AE98" i="6" s="1"/>
  <c r="AG97" i="6"/>
  <c r="AD97" i="6"/>
  <c r="AE97" i="6" s="1"/>
  <c r="AG96" i="6"/>
  <c r="AD96" i="6"/>
  <c r="AE96" i="6" s="1"/>
  <c r="AG95" i="6"/>
  <c r="AD95" i="6"/>
  <c r="AE95" i="6" s="1"/>
  <c r="AG94" i="6"/>
  <c r="AD94" i="6"/>
  <c r="AE94" i="6" s="1"/>
  <c r="AG93" i="6"/>
  <c r="AD93" i="6"/>
  <c r="AE93" i="6" s="1"/>
  <c r="AG92" i="6"/>
  <c r="AD92" i="6"/>
  <c r="AE92" i="6" s="1"/>
  <c r="AG91" i="6"/>
  <c r="AD91" i="6"/>
  <c r="AE91" i="6" s="1"/>
  <c r="AG90" i="6"/>
  <c r="AD90" i="6"/>
  <c r="AE90" i="6" s="1"/>
  <c r="AG89" i="6"/>
  <c r="AD89" i="6"/>
  <c r="AE89" i="6" s="1"/>
  <c r="AG88" i="6"/>
  <c r="AD88" i="6"/>
  <c r="AE88" i="6" s="1"/>
  <c r="AG87" i="6"/>
  <c r="AD87" i="6"/>
  <c r="AE87" i="6" s="1"/>
  <c r="AG86" i="6"/>
  <c r="AD86" i="6"/>
  <c r="AE86" i="6" s="1"/>
  <c r="AG85" i="6"/>
  <c r="AD85" i="6"/>
  <c r="AE85" i="6" s="1"/>
  <c r="AG84" i="6"/>
  <c r="AD84" i="6"/>
  <c r="AE84" i="6" s="1"/>
  <c r="AG83" i="6"/>
  <c r="AD83" i="6"/>
  <c r="AE83" i="6" s="1"/>
  <c r="AG82" i="6"/>
  <c r="AD82" i="6"/>
  <c r="AE82" i="6" s="1"/>
  <c r="AG81" i="6"/>
  <c r="AD81" i="6"/>
  <c r="AE81" i="6" s="1"/>
  <c r="AG80" i="6"/>
  <c r="AD80" i="6"/>
  <c r="AE80" i="6" s="1"/>
  <c r="AG79" i="6"/>
  <c r="AD79" i="6"/>
  <c r="AE79" i="6" s="1"/>
  <c r="AG78" i="6"/>
  <c r="AD78" i="6"/>
  <c r="AE78" i="6" s="1"/>
  <c r="AG77" i="6"/>
  <c r="AD77" i="6"/>
  <c r="AE77" i="6" s="1"/>
  <c r="AG76" i="6"/>
  <c r="AD76" i="6"/>
  <c r="AE76" i="6" s="1"/>
  <c r="AG75" i="6"/>
  <c r="AD75" i="6"/>
  <c r="AE75" i="6" s="1"/>
  <c r="AG74" i="6"/>
  <c r="AD74" i="6"/>
  <c r="AE74" i="6" s="1"/>
  <c r="AG73" i="6"/>
  <c r="AD73" i="6"/>
  <c r="AE73" i="6" s="1"/>
  <c r="AG72" i="6"/>
  <c r="AD72" i="6"/>
  <c r="AE72" i="6" s="1"/>
  <c r="AG71" i="6"/>
  <c r="AD71" i="6"/>
  <c r="AE71" i="6" s="1"/>
  <c r="AG70" i="6"/>
  <c r="AD70" i="6"/>
  <c r="AE70" i="6" s="1"/>
  <c r="AG69" i="6"/>
  <c r="AD69" i="6"/>
  <c r="AE69" i="6" s="1"/>
  <c r="AG68" i="6"/>
  <c r="AD68" i="6"/>
  <c r="AE68" i="6" s="1"/>
  <c r="AG67" i="6"/>
  <c r="AD67" i="6"/>
  <c r="AE67" i="6" s="1"/>
  <c r="AG66" i="6"/>
  <c r="AD66" i="6"/>
  <c r="AE66" i="6" s="1"/>
  <c r="AG65" i="6"/>
  <c r="AD65" i="6"/>
  <c r="AE65" i="6" s="1"/>
  <c r="AG64" i="6"/>
  <c r="AD64" i="6"/>
  <c r="AE64" i="6" s="1"/>
  <c r="AG63" i="6"/>
  <c r="AD63" i="6"/>
  <c r="AE63" i="6" s="1"/>
  <c r="AG62" i="6"/>
  <c r="AD62" i="6"/>
  <c r="AE62" i="6" s="1"/>
  <c r="AG61" i="6"/>
  <c r="AD61" i="6"/>
  <c r="AE61" i="6" s="1"/>
  <c r="AG60" i="6"/>
  <c r="AD60" i="6"/>
  <c r="AE60" i="6" s="1"/>
  <c r="AG59" i="6"/>
  <c r="AD59" i="6"/>
  <c r="AE59" i="6" s="1"/>
  <c r="AG58" i="6"/>
  <c r="AD58" i="6"/>
  <c r="AE58" i="6" s="1"/>
  <c r="AG57" i="6"/>
  <c r="AD57" i="6"/>
  <c r="AE57" i="6" s="1"/>
  <c r="AG56" i="6"/>
  <c r="AD56" i="6"/>
  <c r="AE56" i="6" s="1"/>
  <c r="AG55" i="6"/>
  <c r="AD55" i="6"/>
  <c r="AE55" i="6" s="1"/>
  <c r="AG54" i="6"/>
  <c r="AD54" i="6"/>
  <c r="AE54" i="6" s="1"/>
  <c r="AG53" i="6"/>
  <c r="AD53" i="6"/>
  <c r="AE53" i="6" s="1"/>
  <c r="AG52" i="6"/>
  <c r="AD52" i="6"/>
  <c r="AE52" i="6" s="1"/>
  <c r="AG51" i="6"/>
  <c r="AD51" i="6"/>
  <c r="AE51" i="6" s="1"/>
  <c r="AG50" i="6"/>
  <c r="AD50" i="6"/>
  <c r="AE50" i="6" s="1"/>
  <c r="AG49" i="6"/>
  <c r="AD49" i="6"/>
  <c r="AE49" i="6" s="1"/>
  <c r="AG48" i="6"/>
  <c r="AD48" i="6"/>
  <c r="AE48" i="6" s="1"/>
  <c r="AG47" i="6"/>
  <c r="AD47" i="6"/>
  <c r="AE47" i="6" s="1"/>
  <c r="AG46" i="6"/>
  <c r="AD46" i="6"/>
  <c r="AE46" i="6" s="1"/>
  <c r="AG45" i="6"/>
  <c r="AD45" i="6"/>
  <c r="AE45" i="6" s="1"/>
  <c r="AG44" i="6"/>
  <c r="AD44" i="6"/>
  <c r="AE44" i="6" s="1"/>
  <c r="AG43" i="6"/>
  <c r="AD43" i="6"/>
  <c r="AE43" i="6" s="1"/>
  <c r="AG42" i="6"/>
  <c r="AD42" i="6"/>
  <c r="AE42" i="6" s="1"/>
  <c r="AG41" i="6"/>
  <c r="AD41" i="6"/>
  <c r="AE41" i="6" s="1"/>
  <c r="AG40" i="6"/>
  <c r="AD40" i="6"/>
  <c r="AE40" i="6" s="1"/>
  <c r="AG39" i="6"/>
  <c r="AD39" i="6"/>
  <c r="AE39" i="6" s="1"/>
  <c r="AG38" i="6"/>
  <c r="AD38" i="6"/>
  <c r="AE38" i="6" s="1"/>
  <c r="AG37" i="6"/>
  <c r="AD37" i="6"/>
  <c r="AE37" i="6" s="1"/>
  <c r="AG36" i="6"/>
  <c r="AD36" i="6"/>
  <c r="AE36" i="6" s="1"/>
  <c r="AG35" i="6"/>
  <c r="AD35" i="6"/>
  <c r="AE35" i="6" s="1"/>
  <c r="AG34" i="6"/>
  <c r="AD34" i="6"/>
  <c r="AE34" i="6" s="1"/>
  <c r="AG33" i="6"/>
  <c r="AD33" i="6"/>
  <c r="AE33" i="6" s="1"/>
  <c r="AG32" i="6"/>
  <c r="AD32" i="6"/>
  <c r="AE32" i="6" s="1"/>
  <c r="AG31" i="6"/>
  <c r="AD31" i="6"/>
  <c r="AE31" i="6" s="1"/>
  <c r="AG30" i="6"/>
  <c r="AD30" i="6"/>
  <c r="AE30" i="6" s="1"/>
  <c r="AG29" i="6"/>
  <c r="AD29" i="6"/>
  <c r="AE29" i="6" s="1"/>
  <c r="AG28" i="6"/>
  <c r="AD28" i="6"/>
  <c r="AE28" i="6" s="1"/>
  <c r="AG27" i="6"/>
  <c r="AD27" i="6"/>
  <c r="AE27" i="6" s="1"/>
  <c r="AG26" i="6"/>
  <c r="AD26" i="6"/>
  <c r="AE26" i="6" s="1"/>
  <c r="AG25" i="6"/>
  <c r="AD25" i="6"/>
  <c r="AE25" i="6" s="1"/>
  <c r="AG24" i="6"/>
  <c r="AD24" i="6"/>
  <c r="AE24" i="6" s="1"/>
  <c r="AG23" i="6"/>
  <c r="AD23" i="6"/>
  <c r="AE23" i="6" s="1"/>
  <c r="AG22" i="6"/>
  <c r="AD22" i="6"/>
  <c r="AE22" i="6" s="1"/>
  <c r="AG21" i="6"/>
  <c r="AD21" i="6"/>
  <c r="AE21" i="6" s="1"/>
  <c r="AG20" i="6"/>
  <c r="AD20" i="6"/>
  <c r="AE20" i="6" s="1"/>
  <c r="AG19" i="6"/>
  <c r="AD19" i="6"/>
  <c r="AE19" i="6" s="1"/>
  <c r="AG18" i="6"/>
  <c r="AD18" i="6"/>
  <c r="AE18" i="6" s="1"/>
  <c r="AG17" i="6"/>
  <c r="AD17" i="6"/>
  <c r="AE17" i="6" s="1"/>
  <c r="AG16" i="6"/>
  <c r="AD16" i="6"/>
  <c r="AE16" i="6" s="1"/>
  <c r="AG15" i="6"/>
  <c r="AD15" i="6"/>
  <c r="AE15" i="6" s="1"/>
  <c r="AG14" i="6"/>
  <c r="AD14" i="6"/>
  <c r="AE14" i="6" s="1"/>
  <c r="AG13" i="6"/>
  <c r="AD13" i="6"/>
  <c r="AE13" i="6" s="1"/>
  <c r="AG12" i="6"/>
  <c r="AD12" i="6"/>
  <c r="AE12" i="6" s="1"/>
  <c r="AG11" i="6"/>
  <c r="AD11" i="6"/>
  <c r="AE11" i="6" s="1"/>
  <c r="AG10" i="6"/>
  <c r="AD10" i="6"/>
  <c r="AE10" i="6" s="1"/>
  <c r="AG9" i="6"/>
  <c r="AD9" i="6"/>
  <c r="AE9" i="6" s="1"/>
  <c r="AG8" i="6"/>
  <c r="AD8" i="6"/>
  <c r="AE8" i="6" s="1"/>
  <c r="AG7" i="6"/>
  <c r="AD7" i="6"/>
  <c r="AE7" i="6" s="1"/>
  <c r="AG6" i="6"/>
  <c r="AD6" i="6"/>
  <c r="AE6" i="6" s="1"/>
  <c r="AG5" i="6"/>
  <c r="AD5" i="6"/>
  <c r="AE5" i="6" s="1"/>
  <c r="AG4" i="6"/>
  <c r="AD4" i="6"/>
  <c r="AE4" i="6" s="1"/>
  <c r="H26" i="5"/>
  <c r="D26" i="5"/>
  <c r="H24" i="5"/>
  <c r="H22" i="5"/>
  <c r="H25" i="5" s="1"/>
  <c r="H20" i="5"/>
  <c r="H19" i="5"/>
  <c r="H18" i="5"/>
  <c r="D9" i="5"/>
  <c r="H7" i="5" a="1"/>
  <c r="H7" i="5"/>
  <c r="D7" i="5"/>
  <c r="C5" i="5"/>
  <c r="AN125" i="4"/>
  <c r="AM125" i="4"/>
  <c r="AL125" i="4"/>
  <c r="AJ125" i="4"/>
  <c r="AI125" i="4"/>
  <c r="AH125" i="4"/>
  <c r="AN124" i="4"/>
  <c r="AM124" i="4"/>
  <c r="AL124" i="4"/>
  <c r="AJ124" i="4"/>
  <c r="AI124" i="4"/>
  <c r="AH124" i="4"/>
  <c r="AN123" i="4"/>
  <c r="AM123" i="4"/>
  <c r="AL123" i="4"/>
  <c r="AJ123" i="4"/>
  <c r="AI123" i="4"/>
  <c r="AH123" i="4"/>
  <c r="AN122" i="4"/>
  <c r="AM122" i="4"/>
  <c r="AL122" i="4"/>
  <c r="AJ122" i="4"/>
  <c r="AI122" i="4"/>
  <c r="AH122" i="4"/>
  <c r="AN121" i="4"/>
  <c r="AM121" i="4"/>
  <c r="AL121" i="4"/>
  <c r="AJ121" i="4"/>
  <c r="AI121" i="4"/>
  <c r="AH121" i="4"/>
  <c r="AN120" i="4"/>
  <c r="AM120" i="4"/>
  <c r="AL120" i="4"/>
  <c r="AJ120" i="4"/>
  <c r="AI120" i="4"/>
  <c r="AH120" i="4"/>
  <c r="AN119" i="4"/>
  <c r="AM119" i="4"/>
  <c r="AL119" i="4"/>
  <c r="AJ119" i="4"/>
  <c r="AI119" i="4"/>
  <c r="AH119" i="4"/>
  <c r="AN118" i="4"/>
  <c r="AM118" i="4"/>
  <c r="AL118" i="4"/>
  <c r="AJ118" i="4"/>
  <c r="AI118" i="4"/>
  <c r="AH118" i="4"/>
  <c r="AN117" i="4"/>
  <c r="AM117" i="4"/>
  <c r="AL117" i="4"/>
  <c r="AJ117" i="4"/>
  <c r="AI117" i="4"/>
  <c r="AH117" i="4"/>
  <c r="AN116" i="4"/>
  <c r="AJ116" i="4"/>
  <c r="AH116" i="4"/>
  <c r="AN115" i="4"/>
  <c r="AM115" i="4"/>
  <c r="AL115" i="4"/>
  <c r="AJ115" i="4"/>
  <c r="AI115" i="4"/>
  <c r="AH115" i="4"/>
  <c r="X109" i="4"/>
  <c r="T109" i="4"/>
  <c r="S109" i="4"/>
  <c r="O109" i="4"/>
  <c r="N109" i="4"/>
  <c r="AA108" i="4"/>
  <c r="X108" i="4"/>
  <c r="V108" i="4"/>
  <c r="T108" i="4"/>
  <c r="S108" i="4"/>
  <c r="Q108" i="4"/>
  <c r="H108" i="4"/>
  <c r="AF107" i="4"/>
  <c r="AE107" i="4"/>
  <c r="AD107" i="4"/>
  <c r="AC107" i="4"/>
  <c r="AB107" i="4"/>
  <c r="AA107" i="4"/>
  <c r="T107" i="4"/>
  <c r="S107" i="4"/>
  <c r="O107" i="4"/>
  <c r="N107" i="4"/>
  <c r="M107" i="4"/>
  <c r="L107" i="4"/>
  <c r="K107" i="4"/>
  <c r="E107" i="4"/>
  <c r="AR106" i="4"/>
  <c r="AQ106" i="4"/>
  <c r="AP106" i="4"/>
  <c r="AN106" i="4"/>
  <c r="AM106" i="4"/>
  <c r="AL106" i="4"/>
  <c r="AJ106" i="4"/>
  <c r="AI106" i="4"/>
  <c r="AH106" i="4"/>
  <c r="AF106" i="4"/>
  <c r="AE106" i="4"/>
  <c r="AD106" i="4"/>
  <c r="AC106" i="4"/>
  <c r="AB106" i="4"/>
  <c r="AA106" i="4"/>
  <c r="W106" i="4"/>
  <c r="U106" i="4"/>
  <c r="T106" i="4"/>
  <c r="S106" i="4"/>
  <c r="R106" i="4"/>
  <c r="P106" i="4"/>
  <c r="O106" i="4"/>
  <c r="N106" i="4"/>
  <c r="M106" i="4"/>
  <c r="L106" i="4"/>
  <c r="K106" i="4"/>
  <c r="I106" i="4"/>
  <c r="E106" i="4"/>
  <c r="AR105" i="4"/>
  <c r="AQ105" i="4"/>
  <c r="AP105" i="4"/>
  <c r="AN105" i="4"/>
  <c r="AM105" i="4"/>
  <c r="AL105" i="4"/>
  <c r="AJ105" i="4"/>
  <c r="AI105" i="4"/>
  <c r="AH105" i="4"/>
  <c r="AF105" i="4"/>
  <c r="AE105" i="4"/>
  <c r="AD105" i="4"/>
  <c r="AC105" i="4"/>
  <c r="AB105" i="4"/>
  <c r="AA105" i="4"/>
  <c r="W105" i="4"/>
  <c r="U105" i="4"/>
  <c r="T105" i="4"/>
  <c r="S105" i="4"/>
  <c r="R105" i="4"/>
  <c r="P105" i="4"/>
  <c r="O105" i="4"/>
  <c r="N105" i="4"/>
  <c r="M105" i="4"/>
  <c r="L105" i="4"/>
  <c r="K105" i="4"/>
  <c r="I105" i="4"/>
  <c r="E105" i="4"/>
  <c r="AR104" i="4"/>
  <c r="AQ104" i="4"/>
  <c r="AP104" i="4"/>
  <c r="AN104" i="4"/>
  <c r="AM104" i="4"/>
  <c r="AL104" i="4"/>
  <c r="AJ104" i="4"/>
  <c r="AI104" i="4"/>
  <c r="AH104" i="4"/>
  <c r="AF104" i="4"/>
  <c r="AE104" i="4"/>
  <c r="AD104" i="4"/>
  <c r="AC104" i="4"/>
  <c r="AB104" i="4"/>
  <c r="AA104" i="4"/>
  <c r="W104" i="4"/>
  <c r="U104" i="4"/>
  <c r="T104" i="4"/>
  <c r="S104" i="4"/>
  <c r="R104" i="4"/>
  <c r="P104" i="4"/>
  <c r="O104" i="4"/>
  <c r="N104" i="4"/>
  <c r="M104" i="4"/>
  <c r="L104" i="4"/>
  <c r="K104" i="4"/>
  <c r="I104" i="4"/>
  <c r="E104" i="4"/>
  <c r="AR103" i="4"/>
  <c r="AQ103" i="4"/>
  <c r="AP103" i="4"/>
  <c r="AN103" i="4"/>
  <c r="AM103" i="4"/>
  <c r="AL103" i="4"/>
  <c r="AJ103" i="4"/>
  <c r="AI103" i="4"/>
  <c r="AH103" i="4"/>
  <c r="AF103" i="4"/>
  <c r="AE103" i="4"/>
  <c r="AD103" i="4"/>
  <c r="AC103" i="4"/>
  <c r="AB103" i="4"/>
  <c r="AA103" i="4"/>
  <c r="W103" i="4"/>
  <c r="U103" i="4"/>
  <c r="T103" i="4"/>
  <c r="S103" i="4"/>
  <c r="R103" i="4"/>
  <c r="P103" i="4"/>
  <c r="O103" i="4"/>
  <c r="N103" i="4"/>
  <c r="M103" i="4"/>
  <c r="L103" i="4"/>
  <c r="K103" i="4"/>
  <c r="E103" i="4"/>
  <c r="AR102" i="4"/>
  <c r="AQ102" i="4"/>
  <c r="AP102" i="4"/>
  <c r="AN102" i="4"/>
  <c r="AM102" i="4"/>
  <c r="AL102" i="4"/>
  <c r="AJ102" i="4"/>
  <c r="AI102" i="4"/>
  <c r="AH102" i="4"/>
  <c r="AF102" i="4"/>
  <c r="AE102" i="4"/>
  <c r="AD102" i="4"/>
  <c r="AC102" i="4"/>
  <c r="AB102" i="4"/>
  <c r="AA102" i="4"/>
  <c r="W102" i="4"/>
  <c r="U102" i="4"/>
  <c r="T102" i="4"/>
  <c r="S102" i="4"/>
  <c r="R102" i="4"/>
  <c r="P102" i="4"/>
  <c r="O102" i="4"/>
  <c r="N102" i="4"/>
  <c r="M102" i="4"/>
  <c r="L102" i="4"/>
  <c r="K102" i="4"/>
  <c r="E102" i="4"/>
  <c r="AR101" i="4"/>
  <c r="AQ101" i="4"/>
  <c r="AP101" i="4"/>
  <c r="AN101" i="4"/>
  <c r="AM101" i="4"/>
  <c r="AL101" i="4"/>
  <c r="AJ101" i="4"/>
  <c r="AI101" i="4"/>
  <c r="AH101" i="4"/>
  <c r="AF101" i="4"/>
  <c r="AE101" i="4"/>
  <c r="AD101" i="4"/>
  <c r="AC101" i="4"/>
  <c r="AB101" i="4"/>
  <c r="AA101" i="4"/>
  <c r="W101" i="4"/>
  <c r="U101" i="4"/>
  <c r="T101" i="4"/>
  <c r="S101" i="4"/>
  <c r="R101" i="4"/>
  <c r="P101" i="4"/>
  <c r="O101" i="4"/>
  <c r="N101" i="4"/>
  <c r="M101" i="4"/>
  <c r="L101" i="4"/>
  <c r="K101" i="4"/>
  <c r="E101" i="4"/>
  <c r="AR100" i="4"/>
  <c r="AQ100" i="4"/>
  <c r="AP100" i="4"/>
  <c r="AN100" i="4"/>
  <c r="AM100" i="4"/>
  <c r="AL100" i="4"/>
  <c r="AJ100" i="4"/>
  <c r="AI100" i="4"/>
  <c r="AH100" i="4"/>
  <c r="AF100" i="4"/>
  <c r="AE100" i="4"/>
  <c r="AD100" i="4"/>
  <c r="AC100" i="4"/>
  <c r="AB100" i="4"/>
  <c r="AA100" i="4"/>
  <c r="W100" i="4"/>
  <c r="U100" i="4"/>
  <c r="T100" i="4"/>
  <c r="S100" i="4"/>
  <c r="R100" i="4"/>
  <c r="P100" i="4"/>
  <c r="O100" i="4"/>
  <c r="N100" i="4"/>
  <c r="M100" i="4"/>
  <c r="L100" i="4"/>
  <c r="K100" i="4"/>
  <c r="E100" i="4"/>
  <c r="AR99" i="4"/>
  <c r="AQ99" i="4"/>
  <c r="AP99" i="4"/>
  <c r="AN99" i="4"/>
  <c r="AM99" i="4"/>
  <c r="AL99" i="4"/>
  <c r="AJ99" i="4"/>
  <c r="AI99" i="4"/>
  <c r="AH99" i="4"/>
  <c r="AF99" i="4"/>
  <c r="AE99" i="4"/>
  <c r="AD99" i="4"/>
  <c r="AC99" i="4"/>
  <c r="AB99" i="4"/>
  <c r="AA99" i="4"/>
  <c r="Y99" i="4"/>
  <c r="W99" i="4"/>
  <c r="U99" i="4"/>
  <c r="T99" i="4"/>
  <c r="S99" i="4"/>
  <c r="R99" i="4"/>
  <c r="P99" i="4"/>
  <c r="O99" i="4"/>
  <c r="N99" i="4"/>
  <c r="M99" i="4"/>
  <c r="L99" i="4"/>
  <c r="K99" i="4"/>
  <c r="E99" i="4"/>
  <c r="AR98" i="4"/>
  <c r="AQ98" i="4"/>
  <c r="AP98" i="4"/>
  <c r="AN98" i="4"/>
  <c r="AM98" i="4"/>
  <c r="AL98" i="4"/>
  <c r="AJ98" i="4"/>
  <c r="AI98" i="4"/>
  <c r="AH98" i="4"/>
  <c r="AF98" i="4"/>
  <c r="AE98" i="4"/>
  <c r="AD98" i="4"/>
  <c r="AC98" i="4"/>
  <c r="AB98" i="4"/>
  <c r="AA98" i="4"/>
  <c r="W98" i="4"/>
  <c r="U98" i="4"/>
  <c r="T98" i="4"/>
  <c r="S98" i="4"/>
  <c r="R98" i="4"/>
  <c r="P98" i="4"/>
  <c r="O98" i="4"/>
  <c r="N98" i="4"/>
  <c r="M98" i="4"/>
  <c r="L98" i="4"/>
  <c r="K98" i="4"/>
  <c r="E98" i="4"/>
  <c r="AN97" i="4"/>
  <c r="AJ97" i="4"/>
  <c r="AH97" i="4"/>
  <c r="AF97" i="4"/>
  <c r="AE97" i="4"/>
  <c r="AD97" i="4"/>
  <c r="AC97" i="4"/>
  <c r="AR97" i="4" s="1"/>
  <c r="AB97" i="4"/>
  <c r="AA97" i="4"/>
  <c r="Y97" i="4"/>
  <c r="W97" i="4"/>
  <c r="U97" i="4"/>
  <c r="T97" i="4"/>
  <c r="S97" i="4"/>
  <c r="R97" i="4"/>
  <c r="P97" i="4"/>
  <c r="O97" i="4"/>
  <c r="N97" i="4"/>
  <c r="M97" i="4"/>
  <c r="L97" i="4"/>
  <c r="AI97" i="4" s="1"/>
  <c r="K97" i="4"/>
  <c r="E97" i="4"/>
  <c r="AN96" i="4"/>
  <c r="AJ96" i="4"/>
  <c r="AH96" i="4"/>
  <c r="AF96" i="4"/>
  <c r="AE96" i="4"/>
  <c r="AD96" i="4"/>
  <c r="AC96" i="4"/>
  <c r="AR96" i="4" s="1"/>
  <c r="AB96" i="4"/>
  <c r="AA96" i="4"/>
  <c r="W96" i="4"/>
  <c r="U96" i="4"/>
  <c r="U108" i="4" s="1"/>
  <c r="T96" i="4"/>
  <c r="S96" i="4"/>
  <c r="R96" i="4"/>
  <c r="P96" i="4"/>
  <c r="O96" i="4"/>
  <c r="N96" i="4"/>
  <c r="M96" i="4"/>
  <c r="L96" i="4"/>
  <c r="AI96" i="4" s="1"/>
  <c r="K96" i="4"/>
  <c r="E96" i="4"/>
  <c r="AF95" i="4"/>
  <c r="AE95" i="4"/>
  <c r="AD95" i="4"/>
  <c r="AL95" i="4" s="1"/>
  <c r="AL108" i="4" s="1"/>
  <c r="AC95" i="4"/>
  <c r="AC109" i="4" s="1"/>
  <c r="AB95" i="4"/>
  <c r="AB109" i="4" s="1"/>
  <c r="AA95" i="4"/>
  <c r="AA109" i="4" s="1"/>
  <c r="Y95" i="4"/>
  <c r="W95" i="4"/>
  <c r="W108" i="4" s="1"/>
  <c r="U95" i="4"/>
  <c r="T95" i="4"/>
  <c r="S95" i="4"/>
  <c r="R95" i="4"/>
  <c r="R108" i="4" s="1"/>
  <c r="P95" i="4"/>
  <c r="P108" i="4" s="1"/>
  <c r="O95" i="4"/>
  <c r="N95" i="4"/>
  <c r="M95" i="4"/>
  <c r="M109" i="4" s="1"/>
  <c r="L95" i="4"/>
  <c r="K95" i="4"/>
  <c r="E95" i="4"/>
  <c r="AF94" i="4"/>
  <c r="AE94" i="4"/>
  <c r="AD94" i="4"/>
  <c r="AC94" i="4"/>
  <c r="AC108" i="4" s="1"/>
  <c r="AB94" i="4"/>
  <c r="AB108" i="4" s="1"/>
  <c r="AA94" i="4"/>
  <c r="W94" i="4"/>
  <c r="U94" i="4"/>
  <c r="T94" i="4"/>
  <c r="S94" i="4"/>
  <c r="R94" i="4"/>
  <c r="P94" i="4"/>
  <c r="O94" i="4"/>
  <c r="O108" i="4" s="1"/>
  <c r="N94" i="4"/>
  <c r="N108" i="4" s="1"/>
  <c r="M94" i="4"/>
  <c r="M108" i="4" s="1"/>
  <c r="L94" i="4"/>
  <c r="L108" i="4" s="1"/>
  <c r="K94" i="4"/>
  <c r="K108" i="4" s="1"/>
  <c r="E94" i="4"/>
  <c r="AN85" i="4"/>
  <c r="AM85" i="4"/>
  <c r="AL85" i="4"/>
  <c r="AJ85" i="4"/>
  <c r="AI85" i="4"/>
  <c r="AH85" i="4"/>
  <c r="AN84" i="4"/>
  <c r="AM84" i="4"/>
  <c r="AL84" i="4"/>
  <c r="AJ84" i="4"/>
  <c r="AI84" i="4"/>
  <c r="AH84" i="4"/>
  <c r="AN83" i="4"/>
  <c r="AM83" i="4"/>
  <c r="AL83" i="4"/>
  <c r="AJ83" i="4"/>
  <c r="AI83" i="4"/>
  <c r="AH83" i="4"/>
  <c r="AN82" i="4"/>
  <c r="AM82" i="4"/>
  <c r="AL82" i="4"/>
  <c r="AJ82" i="4"/>
  <c r="AI82" i="4"/>
  <c r="AH82" i="4"/>
  <c r="AN81" i="4"/>
  <c r="AM81" i="4"/>
  <c r="AL81" i="4"/>
  <c r="AJ81" i="4"/>
  <c r="AI81" i="4"/>
  <c r="AH81" i="4"/>
  <c r="AN80" i="4"/>
  <c r="AM80" i="4"/>
  <c r="AL80" i="4"/>
  <c r="AJ80" i="4"/>
  <c r="AI80" i="4"/>
  <c r="AH80" i="4"/>
  <c r="AN79" i="4"/>
  <c r="AM79" i="4"/>
  <c r="AL79" i="4"/>
  <c r="AJ79" i="4"/>
  <c r="AI79" i="4"/>
  <c r="AH79" i="4"/>
  <c r="AN78" i="4"/>
  <c r="AM78" i="4"/>
  <c r="AL78" i="4"/>
  <c r="AJ78" i="4"/>
  <c r="AI78" i="4"/>
  <c r="AH78" i="4"/>
  <c r="AN77" i="4"/>
  <c r="AM77" i="4"/>
  <c r="AL77" i="4"/>
  <c r="AJ77" i="4"/>
  <c r="AI77" i="4"/>
  <c r="AH77" i="4"/>
  <c r="AN76" i="4"/>
  <c r="AJ76" i="4"/>
  <c r="AH76" i="4"/>
  <c r="AN75" i="4"/>
  <c r="AM75" i="4"/>
  <c r="AL75" i="4"/>
  <c r="AJ75" i="4"/>
  <c r="AI75" i="4"/>
  <c r="AH75" i="4"/>
  <c r="O69" i="4"/>
  <c r="N69" i="4"/>
  <c r="M69" i="4"/>
  <c r="K69" i="4"/>
  <c r="AH86" i="4" s="1"/>
  <c r="AH74" i="4" s="1"/>
  <c r="V68" i="4"/>
  <c r="T68" i="4"/>
  <c r="Q68" i="4"/>
  <c r="O68" i="4"/>
  <c r="N68" i="4"/>
  <c r="M68" i="4"/>
  <c r="J68" i="4"/>
  <c r="AJ86" i="4" s="1"/>
  <c r="AJ74" i="4" s="1"/>
  <c r="I68" i="4"/>
  <c r="H68" i="4"/>
  <c r="AC67" i="4"/>
  <c r="AB67" i="4"/>
  <c r="AA67" i="4"/>
  <c r="T67" i="4"/>
  <c r="S67" i="4"/>
  <c r="M67" i="4"/>
  <c r="L67" i="4"/>
  <c r="K67" i="4"/>
  <c r="E67" i="4"/>
  <c r="AR66" i="4"/>
  <c r="AQ66" i="4"/>
  <c r="AP66" i="4"/>
  <c r="AN66" i="4"/>
  <c r="AM66" i="4"/>
  <c r="AL66" i="4"/>
  <c r="AJ66" i="4"/>
  <c r="AI66" i="4"/>
  <c r="AH66" i="4"/>
  <c r="AF66" i="4"/>
  <c r="AE66" i="4"/>
  <c r="AD66" i="4"/>
  <c r="AC66" i="4"/>
  <c r="AB66" i="4"/>
  <c r="AA66" i="4"/>
  <c r="X66" i="4"/>
  <c r="Y66" i="4" s="1"/>
  <c r="W66" i="4"/>
  <c r="U66" i="4"/>
  <c r="T66" i="4"/>
  <c r="S66" i="4"/>
  <c r="R66" i="4"/>
  <c r="P66" i="4"/>
  <c r="O66" i="4"/>
  <c r="N66" i="4"/>
  <c r="M66" i="4"/>
  <c r="L66" i="4"/>
  <c r="K66" i="4"/>
  <c r="E66" i="4"/>
  <c r="AR65" i="4"/>
  <c r="AQ65" i="4"/>
  <c r="AP65" i="4"/>
  <c r="AN65" i="4"/>
  <c r="AM65" i="4"/>
  <c r="AL65" i="4"/>
  <c r="AJ65" i="4"/>
  <c r="AI65" i="4"/>
  <c r="AH65" i="4"/>
  <c r="AF65" i="4"/>
  <c r="AE65" i="4"/>
  <c r="AD65" i="4"/>
  <c r="AC65" i="4"/>
  <c r="AB65" i="4"/>
  <c r="AA65" i="4"/>
  <c r="Y65" i="4"/>
  <c r="X65" i="4"/>
  <c r="W65" i="4"/>
  <c r="U65" i="4"/>
  <c r="T65" i="4"/>
  <c r="S65" i="4"/>
  <c r="R65" i="4"/>
  <c r="P65" i="4"/>
  <c r="O65" i="4"/>
  <c r="N65" i="4"/>
  <c r="M65" i="4"/>
  <c r="L65" i="4"/>
  <c r="K65" i="4"/>
  <c r="E65" i="4"/>
  <c r="AR64" i="4"/>
  <c r="AQ64" i="4"/>
  <c r="AP64" i="4"/>
  <c r="AN64" i="4"/>
  <c r="AM64" i="4"/>
  <c r="AL64" i="4"/>
  <c r="AJ64" i="4"/>
  <c r="AI64" i="4"/>
  <c r="AH64" i="4"/>
  <c r="AF64" i="4"/>
  <c r="AE64" i="4"/>
  <c r="AD64" i="4"/>
  <c r="AC64" i="4"/>
  <c r="AB64" i="4"/>
  <c r="AA64" i="4"/>
  <c r="X64" i="4"/>
  <c r="Y64" i="4" s="1"/>
  <c r="W64" i="4"/>
  <c r="U64" i="4"/>
  <c r="T64" i="4"/>
  <c r="S64" i="4"/>
  <c r="R64" i="4"/>
  <c r="P64" i="4"/>
  <c r="O64" i="4"/>
  <c r="N64" i="4"/>
  <c r="M64" i="4"/>
  <c r="L64" i="4"/>
  <c r="K64" i="4"/>
  <c r="E64" i="4"/>
  <c r="AR63" i="4"/>
  <c r="AQ63" i="4"/>
  <c r="AP63" i="4"/>
  <c r="AN63" i="4"/>
  <c r="AM63" i="4"/>
  <c r="AL63" i="4"/>
  <c r="AJ63" i="4"/>
  <c r="AI63" i="4"/>
  <c r="AH63" i="4"/>
  <c r="AF63" i="4"/>
  <c r="AE63" i="4"/>
  <c r="AD63" i="4"/>
  <c r="AC63" i="4"/>
  <c r="AB63" i="4"/>
  <c r="AA63" i="4"/>
  <c r="X63" i="4"/>
  <c r="Y63" i="4" s="1"/>
  <c r="W63" i="4"/>
  <c r="U63" i="4"/>
  <c r="T63" i="4"/>
  <c r="S63" i="4"/>
  <c r="R63" i="4"/>
  <c r="P63" i="4"/>
  <c r="O63" i="4"/>
  <c r="N63" i="4"/>
  <c r="M63" i="4"/>
  <c r="L63" i="4"/>
  <c r="K63" i="4"/>
  <c r="E63" i="4"/>
  <c r="AR62" i="4"/>
  <c r="AQ62" i="4"/>
  <c r="AP62" i="4"/>
  <c r="AN62" i="4"/>
  <c r="AM62" i="4"/>
  <c r="AL62" i="4"/>
  <c r="AJ62" i="4"/>
  <c r="AI62" i="4"/>
  <c r="AH62" i="4"/>
  <c r="AF62" i="4"/>
  <c r="AE62" i="4"/>
  <c r="AD62" i="4"/>
  <c r="AC62" i="4"/>
  <c r="AB62" i="4"/>
  <c r="AA62" i="4"/>
  <c r="Y62" i="4"/>
  <c r="X62" i="4"/>
  <c r="W62" i="4"/>
  <c r="U62" i="4"/>
  <c r="T62" i="4"/>
  <c r="S62" i="4"/>
  <c r="R62" i="4"/>
  <c r="P62" i="4"/>
  <c r="O62" i="4"/>
  <c r="N62" i="4"/>
  <c r="M62" i="4"/>
  <c r="L62" i="4"/>
  <c r="K62" i="4"/>
  <c r="E62" i="4"/>
  <c r="AR61" i="4"/>
  <c r="AQ61" i="4"/>
  <c r="AP61" i="4"/>
  <c r="AN61" i="4"/>
  <c r="AM61" i="4"/>
  <c r="AL61" i="4"/>
  <c r="AJ61" i="4"/>
  <c r="AI61" i="4"/>
  <c r="AH61" i="4"/>
  <c r="AF61" i="4"/>
  <c r="AE61" i="4"/>
  <c r="AD61" i="4"/>
  <c r="AC61" i="4"/>
  <c r="AB61" i="4"/>
  <c r="AA61" i="4"/>
  <c r="X61" i="4"/>
  <c r="Y61" i="4" s="1"/>
  <c r="W61" i="4"/>
  <c r="U61" i="4"/>
  <c r="T61" i="4"/>
  <c r="S61" i="4"/>
  <c r="R61" i="4"/>
  <c r="P61" i="4"/>
  <c r="O61" i="4"/>
  <c r="N61" i="4"/>
  <c r="M61" i="4"/>
  <c r="L61" i="4"/>
  <c r="K61" i="4"/>
  <c r="E61" i="4"/>
  <c r="AR60" i="4"/>
  <c r="AQ60" i="4"/>
  <c r="AP60" i="4"/>
  <c r="AN60" i="4"/>
  <c r="AM60" i="4"/>
  <c r="AL60" i="4"/>
  <c r="AJ60" i="4"/>
  <c r="AI60" i="4"/>
  <c r="AH60" i="4"/>
  <c r="AF60" i="4"/>
  <c r="AE60" i="4"/>
  <c r="AD60" i="4"/>
  <c r="AC60" i="4"/>
  <c r="AB60" i="4"/>
  <c r="AA60" i="4"/>
  <c r="X60" i="4"/>
  <c r="Y60" i="4" s="1"/>
  <c r="W60" i="4"/>
  <c r="U60" i="4"/>
  <c r="T60" i="4"/>
  <c r="S60" i="4"/>
  <c r="R60" i="4"/>
  <c r="P60" i="4"/>
  <c r="O60" i="4"/>
  <c r="N60" i="4"/>
  <c r="M60" i="4"/>
  <c r="L60" i="4"/>
  <c r="K60" i="4"/>
  <c r="E60" i="4"/>
  <c r="AR59" i="4"/>
  <c r="AQ59" i="4"/>
  <c r="AP59" i="4"/>
  <c r="AN59" i="4"/>
  <c r="AM59" i="4"/>
  <c r="AL59" i="4"/>
  <c r="AJ59" i="4"/>
  <c r="AI59" i="4"/>
  <c r="AH59" i="4"/>
  <c r="AF59" i="4"/>
  <c r="AE59" i="4"/>
  <c r="AD59" i="4"/>
  <c r="AC59" i="4"/>
  <c r="AB59" i="4"/>
  <c r="AA59" i="4"/>
  <c r="X59" i="4"/>
  <c r="Y59" i="4" s="1"/>
  <c r="W59" i="4"/>
  <c r="U59" i="4"/>
  <c r="T59" i="4"/>
  <c r="S59" i="4"/>
  <c r="R59" i="4"/>
  <c r="P59" i="4"/>
  <c r="O59" i="4"/>
  <c r="N59" i="4"/>
  <c r="M59" i="4"/>
  <c r="L59" i="4"/>
  <c r="K59" i="4"/>
  <c r="E59" i="4"/>
  <c r="AR58" i="4"/>
  <c r="AQ58" i="4"/>
  <c r="AP58" i="4"/>
  <c r="AN58" i="4"/>
  <c r="AM58" i="4"/>
  <c r="AL58" i="4"/>
  <c r="AJ58" i="4"/>
  <c r="AI58" i="4"/>
  <c r="AH58" i="4"/>
  <c r="AF58" i="4"/>
  <c r="AE58" i="4"/>
  <c r="AD58" i="4"/>
  <c r="AC58" i="4"/>
  <c r="AB58" i="4"/>
  <c r="AA58" i="4"/>
  <c r="X58" i="4"/>
  <c r="Y58" i="4" s="1"/>
  <c r="W58" i="4"/>
  <c r="U58" i="4"/>
  <c r="T58" i="4"/>
  <c r="S58" i="4"/>
  <c r="R58" i="4"/>
  <c r="P58" i="4"/>
  <c r="O58" i="4"/>
  <c r="N58" i="4"/>
  <c r="M58" i="4"/>
  <c r="L58" i="4"/>
  <c r="K58" i="4"/>
  <c r="E58" i="4"/>
  <c r="AR57" i="4"/>
  <c r="AN57" i="4"/>
  <c r="AJ57" i="4"/>
  <c r="AH57" i="4"/>
  <c r="AF57" i="4"/>
  <c r="AE57" i="4"/>
  <c r="AD57" i="4"/>
  <c r="AC57" i="4"/>
  <c r="AB57" i="4"/>
  <c r="AA57" i="4"/>
  <c r="X57" i="4"/>
  <c r="Y57" i="4" s="1"/>
  <c r="Y8" i="4" s="1"/>
  <c r="W57" i="4"/>
  <c r="U57" i="4"/>
  <c r="T57" i="4"/>
  <c r="S57" i="4"/>
  <c r="R57" i="4"/>
  <c r="P57" i="4"/>
  <c r="O57" i="4"/>
  <c r="N57" i="4"/>
  <c r="M57" i="4"/>
  <c r="L57" i="4"/>
  <c r="AI57" i="4" s="1"/>
  <c r="K57" i="4"/>
  <c r="E57" i="4"/>
  <c r="AR56" i="4"/>
  <c r="AN56" i="4"/>
  <c r="AJ56" i="4"/>
  <c r="AH56" i="4"/>
  <c r="AF56" i="4"/>
  <c r="AE56" i="4"/>
  <c r="AD56" i="4"/>
  <c r="AC56" i="4"/>
  <c r="AB56" i="4"/>
  <c r="AA56" i="4"/>
  <c r="Y56" i="4"/>
  <c r="X56" i="4"/>
  <c r="W56" i="4"/>
  <c r="U56" i="4"/>
  <c r="U68" i="4" s="1"/>
  <c r="T56" i="4"/>
  <c r="S56" i="4"/>
  <c r="R56" i="4"/>
  <c r="P56" i="4"/>
  <c r="O56" i="4"/>
  <c r="N56" i="4"/>
  <c r="M56" i="4"/>
  <c r="L56" i="4"/>
  <c r="AI56" i="4" s="1"/>
  <c r="K56" i="4"/>
  <c r="E56" i="4"/>
  <c r="AF55" i="4"/>
  <c r="AF68" i="4" s="1"/>
  <c r="AE55" i="4"/>
  <c r="AE68" i="4" s="1"/>
  <c r="AD55" i="4"/>
  <c r="AC55" i="4"/>
  <c r="AB55" i="4"/>
  <c r="AA55" i="4"/>
  <c r="X55" i="4"/>
  <c r="W55" i="4"/>
  <c r="W68" i="4" s="1"/>
  <c r="U55" i="4"/>
  <c r="T55" i="4"/>
  <c r="T69" i="4" s="1"/>
  <c r="S55" i="4"/>
  <c r="S69" i="4" s="1"/>
  <c r="R55" i="4"/>
  <c r="R68" i="4" s="1"/>
  <c r="P55" i="4"/>
  <c r="P68" i="4" s="1"/>
  <c r="O55" i="4"/>
  <c r="N55" i="4"/>
  <c r="M55" i="4"/>
  <c r="L55" i="4"/>
  <c r="L69" i="4" s="1"/>
  <c r="K55" i="4"/>
  <c r="E55" i="4"/>
  <c r="AR54" i="4"/>
  <c r="AQ54" i="4"/>
  <c r="AP54" i="4"/>
  <c r="AC54" i="4"/>
  <c r="AB54" i="4"/>
  <c r="AA54" i="4"/>
  <c r="W54" i="4"/>
  <c r="U54" i="4"/>
  <c r="T54" i="4"/>
  <c r="S54" i="4"/>
  <c r="S68" i="4" s="1"/>
  <c r="R54" i="4"/>
  <c r="P54" i="4"/>
  <c r="O54" i="4"/>
  <c r="N54" i="4"/>
  <c r="M54" i="4"/>
  <c r="L54" i="4"/>
  <c r="L68" i="4" s="1"/>
  <c r="K54" i="4"/>
  <c r="K68" i="4" s="1"/>
  <c r="E54" i="4"/>
  <c r="AN46" i="4"/>
  <c r="AM46" i="4"/>
  <c r="AL46" i="4"/>
  <c r="AJ46" i="4"/>
  <c r="AI46" i="4"/>
  <c r="AH46" i="4"/>
  <c r="AN45" i="4"/>
  <c r="AM45" i="4"/>
  <c r="AL45" i="4"/>
  <c r="AJ45" i="4"/>
  <c r="AI45" i="4"/>
  <c r="AH45" i="4"/>
  <c r="AN44" i="4"/>
  <c r="AM44" i="4"/>
  <c r="AL44" i="4"/>
  <c r="AJ44" i="4"/>
  <c r="AI44" i="4"/>
  <c r="AH44" i="4"/>
  <c r="AN43" i="4"/>
  <c r="AM43" i="4"/>
  <c r="AL43" i="4"/>
  <c r="AJ43" i="4"/>
  <c r="AI43" i="4"/>
  <c r="AH43" i="4"/>
  <c r="AN42" i="4"/>
  <c r="AM42" i="4"/>
  <c r="AL42" i="4"/>
  <c r="AJ42" i="4"/>
  <c r="AI42" i="4"/>
  <c r="AH42" i="4"/>
  <c r="AN41" i="4"/>
  <c r="AM41" i="4"/>
  <c r="AL41" i="4"/>
  <c r="AJ41" i="4"/>
  <c r="AI41" i="4"/>
  <c r="AH41" i="4"/>
  <c r="AN40" i="4"/>
  <c r="AM40" i="4"/>
  <c r="AL40" i="4"/>
  <c r="AJ40" i="4"/>
  <c r="AI40" i="4"/>
  <c r="AH40" i="4"/>
  <c r="AN39" i="4"/>
  <c r="AM39" i="4"/>
  <c r="AL39" i="4"/>
  <c r="AJ39" i="4"/>
  <c r="AI39" i="4"/>
  <c r="AH39" i="4"/>
  <c r="AN38" i="4"/>
  <c r="AM38" i="4"/>
  <c r="AL38" i="4"/>
  <c r="AJ38" i="4"/>
  <c r="AI38" i="4"/>
  <c r="AH38" i="4"/>
  <c r="AN37" i="4"/>
  <c r="AJ37" i="4"/>
  <c r="AH37" i="4"/>
  <c r="AN36" i="4"/>
  <c r="AM36" i="4"/>
  <c r="AL36" i="4"/>
  <c r="AJ36" i="4"/>
  <c r="AI36" i="4"/>
  <c r="AH36" i="4"/>
  <c r="AA20" i="4"/>
  <c r="O20" i="4"/>
  <c r="N20" i="4"/>
  <c r="M20" i="4"/>
  <c r="K20" i="4"/>
  <c r="AF19" i="4"/>
  <c r="Z19" i="4"/>
  <c r="X19" i="4"/>
  <c r="V19" i="4"/>
  <c r="H16" i="5" s="1"/>
  <c r="Q19" i="4"/>
  <c r="H11" i="5" s="1"/>
  <c r="O19" i="4"/>
  <c r="N19" i="4"/>
  <c r="M19" i="4"/>
  <c r="K19" i="4"/>
  <c r="J19" i="4"/>
  <c r="H19" i="4"/>
  <c r="AH47" i="4" s="1"/>
  <c r="AH35" i="4" s="1"/>
  <c r="AC18" i="4"/>
  <c r="AB18" i="4"/>
  <c r="AA18" i="4"/>
  <c r="T18" i="4"/>
  <c r="S18" i="4"/>
  <c r="O18" i="4"/>
  <c r="N18" i="4"/>
  <c r="M18" i="4"/>
  <c r="L18" i="4"/>
  <c r="K18" i="4"/>
  <c r="E18" i="4"/>
  <c r="AR17" i="4"/>
  <c r="AQ17" i="4"/>
  <c r="AP17" i="4"/>
  <c r="AN17" i="4"/>
  <c r="AM17" i="4"/>
  <c r="AL17" i="4"/>
  <c r="AJ17" i="4"/>
  <c r="AI17" i="4"/>
  <c r="AH17" i="4"/>
  <c r="AF17" i="4"/>
  <c r="AE17" i="4"/>
  <c r="AD17" i="4"/>
  <c r="AC17" i="4"/>
  <c r="AB17" i="4"/>
  <c r="AA17" i="4"/>
  <c r="W17" i="4"/>
  <c r="U17" i="4"/>
  <c r="T17" i="4"/>
  <c r="S17" i="4"/>
  <c r="R17" i="4"/>
  <c r="P17" i="4"/>
  <c r="O17" i="4"/>
  <c r="N17" i="4"/>
  <c r="M17" i="4"/>
  <c r="L17" i="4"/>
  <c r="K17" i="4"/>
  <c r="G17" i="4"/>
  <c r="E17" i="4"/>
  <c r="AR16" i="4"/>
  <c r="AQ16" i="4"/>
  <c r="AP16" i="4"/>
  <c r="AN16" i="4"/>
  <c r="AM16" i="4"/>
  <c r="AL16" i="4"/>
  <c r="AJ16" i="4"/>
  <c r="AI16" i="4"/>
  <c r="AH16" i="4"/>
  <c r="AF16" i="4"/>
  <c r="AE16" i="4"/>
  <c r="AD16" i="4"/>
  <c r="AC16" i="4"/>
  <c r="AB16" i="4"/>
  <c r="AA16" i="4"/>
  <c r="W16" i="4"/>
  <c r="U16" i="4"/>
  <c r="T16" i="4"/>
  <c r="S16" i="4"/>
  <c r="R16" i="4"/>
  <c r="P16" i="4"/>
  <c r="O16" i="4"/>
  <c r="N16" i="4"/>
  <c r="M16" i="4"/>
  <c r="L16" i="4"/>
  <c r="K16" i="4"/>
  <c r="E16" i="4"/>
  <c r="AR15" i="4"/>
  <c r="AQ15" i="4"/>
  <c r="AP15" i="4"/>
  <c r="AN15" i="4"/>
  <c r="AM15" i="4"/>
  <c r="AL15" i="4"/>
  <c r="AJ15" i="4"/>
  <c r="AI15" i="4"/>
  <c r="AH15" i="4"/>
  <c r="AF15" i="4"/>
  <c r="AE15" i="4"/>
  <c r="AD15" i="4"/>
  <c r="AC15" i="4"/>
  <c r="AB15" i="4"/>
  <c r="AA15" i="4"/>
  <c r="W15" i="4"/>
  <c r="U15" i="4"/>
  <c r="T15" i="4"/>
  <c r="S15" i="4"/>
  <c r="R15" i="4"/>
  <c r="P15" i="4"/>
  <c r="O15" i="4"/>
  <c r="N15" i="4"/>
  <c r="M15" i="4"/>
  <c r="L15" i="4"/>
  <c r="K15" i="4"/>
  <c r="E15" i="4"/>
  <c r="AR14" i="4"/>
  <c r="AQ14" i="4"/>
  <c r="AP14" i="4"/>
  <c r="AN14" i="4"/>
  <c r="AM14" i="4"/>
  <c r="AL14" i="4"/>
  <c r="AJ14" i="4"/>
  <c r="AI14" i="4"/>
  <c r="AH14" i="4"/>
  <c r="AF14" i="4"/>
  <c r="AE14" i="4"/>
  <c r="AD14" i="4"/>
  <c r="AC14" i="4"/>
  <c r="AB14" i="4"/>
  <c r="AA14" i="4"/>
  <c r="W14" i="4"/>
  <c r="U14" i="4"/>
  <c r="T14" i="4"/>
  <c r="S14" i="4"/>
  <c r="R14" i="4"/>
  <c r="P14" i="4"/>
  <c r="O14" i="4"/>
  <c r="N14" i="4"/>
  <c r="M14" i="4"/>
  <c r="L14" i="4"/>
  <c r="K14" i="4"/>
  <c r="E14" i="4"/>
  <c r="AR13" i="4"/>
  <c r="AQ13" i="4"/>
  <c r="AP13" i="4"/>
  <c r="AN13" i="4"/>
  <c r="AM13" i="4"/>
  <c r="AL13" i="4"/>
  <c r="AJ13" i="4"/>
  <c r="AI13" i="4"/>
  <c r="AH13" i="4"/>
  <c r="AF13" i="4"/>
  <c r="AE13" i="4"/>
  <c r="AD13" i="4"/>
  <c r="AC13" i="4"/>
  <c r="AB13" i="4"/>
  <c r="AA13" i="4"/>
  <c r="W13" i="4"/>
  <c r="U13" i="4"/>
  <c r="T13" i="4"/>
  <c r="S13" i="4"/>
  <c r="R13" i="4"/>
  <c r="P13" i="4"/>
  <c r="O13" i="4"/>
  <c r="N13" i="4"/>
  <c r="M13" i="4"/>
  <c r="L13" i="4"/>
  <c r="K13" i="4"/>
  <c r="E13" i="4"/>
  <c r="AR12" i="4"/>
  <c r="AQ12" i="4"/>
  <c r="AP12" i="4"/>
  <c r="AN12" i="4"/>
  <c r="AM12" i="4"/>
  <c r="AL12" i="4"/>
  <c r="AJ12" i="4"/>
  <c r="AI12" i="4"/>
  <c r="AH12" i="4"/>
  <c r="AF12" i="4"/>
  <c r="AE12" i="4"/>
  <c r="AD12" i="4"/>
  <c r="AC12" i="4"/>
  <c r="AB12" i="4"/>
  <c r="AA12" i="4"/>
  <c r="W12" i="4"/>
  <c r="U12" i="4"/>
  <c r="T12" i="4"/>
  <c r="S12" i="4"/>
  <c r="R12" i="4"/>
  <c r="P12" i="4"/>
  <c r="O12" i="4"/>
  <c r="N12" i="4"/>
  <c r="M12" i="4"/>
  <c r="L12" i="4"/>
  <c r="K12" i="4"/>
  <c r="E12" i="4"/>
  <c r="AR11" i="4"/>
  <c r="AQ11" i="4"/>
  <c r="AP11" i="4"/>
  <c r="AN11" i="4"/>
  <c r="AM11" i="4"/>
  <c r="AL11" i="4"/>
  <c r="AJ11" i="4"/>
  <c r="AI11" i="4"/>
  <c r="AH11" i="4"/>
  <c r="AF11" i="4"/>
  <c r="AE11" i="4"/>
  <c r="AD11" i="4"/>
  <c r="AC11" i="4"/>
  <c r="AB11" i="4"/>
  <c r="AA11" i="4"/>
  <c r="W11" i="4"/>
  <c r="U11" i="4"/>
  <c r="T11" i="4"/>
  <c r="S11" i="4"/>
  <c r="R11" i="4"/>
  <c r="P11" i="4"/>
  <c r="O11" i="4"/>
  <c r="N11" i="4"/>
  <c r="M11" i="4"/>
  <c r="L11" i="4"/>
  <c r="K11" i="4"/>
  <c r="E11" i="4"/>
  <c r="AR10" i="4"/>
  <c r="AQ10" i="4"/>
  <c r="AP10" i="4"/>
  <c r="AN10" i="4"/>
  <c r="AM10" i="4"/>
  <c r="AL10" i="4"/>
  <c r="AJ10" i="4"/>
  <c r="AI10" i="4"/>
  <c r="AH10" i="4"/>
  <c r="AF10" i="4"/>
  <c r="AE10" i="4"/>
  <c r="AD10" i="4"/>
  <c r="AC10" i="4"/>
  <c r="AB10" i="4"/>
  <c r="AA10" i="4"/>
  <c r="W10" i="4"/>
  <c r="U10" i="4"/>
  <c r="T10" i="4"/>
  <c r="S10" i="4"/>
  <c r="R10" i="4"/>
  <c r="P10" i="4"/>
  <c r="O10" i="4"/>
  <c r="N10" i="4"/>
  <c r="M10" i="4"/>
  <c r="L10" i="4"/>
  <c r="K10" i="4"/>
  <c r="E10" i="4"/>
  <c r="AR9" i="4"/>
  <c r="AQ9" i="4"/>
  <c r="AP9" i="4"/>
  <c r="AN9" i="4"/>
  <c r="AM9" i="4"/>
  <c r="AL9" i="4"/>
  <c r="AJ9" i="4"/>
  <c r="AI9" i="4"/>
  <c r="AH9" i="4"/>
  <c r="AF9" i="4"/>
  <c r="AE9" i="4"/>
  <c r="AD9" i="4"/>
  <c r="AC9" i="4"/>
  <c r="AB9" i="4"/>
  <c r="AA9" i="4"/>
  <c r="W9" i="4"/>
  <c r="U9" i="4"/>
  <c r="T9" i="4"/>
  <c r="S9" i="4"/>
  <c r="R9" i="4"/>
  <c r="P9" i="4"/>
  <c r="O9" i="4"/>
  <c r="N9" i="4"/>
  <c r="M9" i="4"/>
  <c r="L9" i="4"/>
  <c r="K9" i="4"/>
  <c r="E9" i="4"/>
  <c r="AN8" i="4"/>
  <c r="AJ8" i="4"/>
  <c r="AH8" i="4"/>
  <c r="AF8" i="4"/>
  <c r="AE8" i="4"/>
  <c r="AD8" i="4"/>
  <c r="AC8" i="4"/>
  <c r="AR8" i="4" s="1"/>
  <c r="AB8" i="4"/>
  <c r="AA8" i="4"/>
  <c r="W8" i="4"/>
  <c r="U8" i="4"/>
  <c r="T8" i="4"/>
  <c r="S8" i="4"/>
  <c r="R8" i="4"/>
  <c r="P8" i="4"/>
  <c r="O8" i="4"/>
  <c r="N8" i="4"/>
  <c r="M8" i="4"/>
  <c r="L8" i="4"/>
  <c r="AI8" i="4" s="1"/>
  <c r="K8" i="4"/>
  <c r="E8" i="4"/>
  <c r="AN7" i="4"/>
  <c r="AJ7" i="4"/>
  <c r="AH7" i="4"/>
  <c r="AF7" i="4"/>
  <c r="AE7" i="4"/>
  <c r="AD7" i="4"/>
  <c r="AC7" i="4"/>
  <c r="AR7" i="4" s="1"/>
  <c r="AB7" i="4"/>
  <c r="AA7" i="4"/>
  <c r="W7" i="4"/>
  <c r="U7" i="4"/>
  <c r="T7" i="4"/>
  <c r="S7" i="4"/>
  <c r="R7" i="4"/>
  <c r="P7" i="4"/>
  <c r="O7" i="4"/>
  <c r="N7" i="4"/>
  <c r="M7" i="4"/>
  <c r="L7" i="4"/>
  <c r="AI7" i="4" s="1"/>
  <c r="K7" i="4"/>
  <c r="E7" i="4"/>
  <c r="AF6" i="4"/>
  <c r="AE6" i="4"/>
  <c r="AD6" i="4"/>
  <c r="AD19" i="4" s="1"/>
  <c r="AL47" i="4" s="1"/>
  <c r="AC6" i="4"/>
  <c r="AB6" i="4"/>
  <c r="AB20" i="4" s="1"/>
  <c r="AA6" i="4"/>
  <c r="W6" i="4"/>
  <c r="W19" i="4" s="1"/>
  <c r="H17" i="5" s="1"/>
  <c r="U6" i="4"/>
  <c r="U19" i="4" s="1"/>
  <c r="H15" i="5" s="1"/>
  <c r="T6" i="4"/>
  <c r="H14" i="5" s="1" a="1"/>
  <c r="H14" i="5" s="1"/>
  <c r="S6" i="4"/>
  <c r="H13" i="5" s="1" a="1"/>
  <c r="H13" i="5" s="1"/>
  <c r="R6" i="4"/>
  <c r="R19" i="4" s="1"/>
  <c r="H12" i="5" s="1"/>
  <c r="P6" i="4"/>
  <c r="P19" i="4" s="1"/>
  <c r="H10" i="5" s="1"/>
  <c r="O6" i="4"/>
  <c r="H9" i="5" s="1" a="1"/>
  <c r="H9" i="5" s="1"/>
  <c r="N6" i="4"/>
  <c r="H8" i="5" s="1" a="1"/>
  <c r="H8" i="5" s="1"/>
  <c r="M6" i="4"/>
  <c r="AJ6" i="4" s="1"/>
  <c r="AJ19" i="4" s="1"/>
  <c r="L6" i="4"/>
  <c r="L20" i="4" s="1"/>
  <c r="K6" i="4"/>
  <c r="E6" i="4"/>
  <c r="AC5" i="4"/>
  <c r="AB5" i="4"/>
  <c r="AQ5" i="4" s="1"/>
  <c r="AQ19" i="4" s="1"/>
  <c r="AA5" i="4"/>
  <c r="AP5" i="4" s="1"/>
  <c r="AP19" i="4" s="1"/>
  <c r="W5" i="4"/>
  <c r="U5" i="4"/>
  <c r="T5" i="4"/>
  <c r="T19" i="4" s="1"/>
  <c r="S5" i="4"/>
  <c r="S19" i="4" s="1"/>
  <c r="R5" i="4"/>
  <c r="P5" i="4"/>
  <c r="O5" i="4"/>
  <c r="N5" i="4"/>
  <c r="M5" i="4"/>
  <c r="L5" i="4"/>
  <c r="L19" i="4" s="1"/>
  <c r="K5" i="4"/>
  <c r="E5" i="4"/>
  <c r="I222" i="3"/>
  <c r="I221" i="3"/>
  <c r="I220" i="3"/>
  <c r="I219" i="3"/>
  <c r="F206" i="3"/>
  <c r="F205" i="3"/>
  <c r="F204" i="3"/>
  <c r="F201" i="3"/>
  <c r="F200" i="3"/>
  <c r="F199" i="3"/>
  <c r="F164" i="3"/>
  <c r="F163" i="3"/>
  <c r="I162" i="3"/>
  <c r="F162" i="3"/>
  <c r="I161" i="3"/>
  <c r="F161" i="3"/>
  <c r="F158" i="3"/>
  <c r="F157" i="3"/>
  <c r="I156" i="3"/>
  <c r="F156" i="3"/>
  <c r="F155" i="3"/>
  <c r="I149" i="3"/>
  <c r="I155" i="3" s="1"/>
  <c r="I143" i="3"/>
  <c r="I174" i="3"/>
  <c r="I137" i="3"/>
  <c r="I173" i="3" s="1"/>
  <c r="I131" i="3"/>
  <c r="I125" i="3"/>
  <c r="F108" i="3"/>
  <c r="E108" i="3"/>
  <c r="F107" i="3"/>
  <c r="E107" i="3"/>
  <c r="F106" i="3"/>
  <c r="E106" i="3"/>
  <c r="F105" i="3"/>
  <c r="E105" i="3"/>
  <c r="I104" i="3"/>
  <c r="F104" i="3"/>
  <c r="E104" i="3"/>
  <c r="I103" i="3"/>
  <c r="F103" i="3"/>
  <c r="E103" i="3"/>
  <c r="F102" i="3"/>
  <c r="E102" i="3"/>
  <c r="F101" i="3"/>
  <c r="E101" i="3"/>
  <c r="F100" i="3"/>
  <c r="E100" i="3"/>
  <c r="F99" i="3"/>
  <c r="E99" i="3"/>
  <c r="I108" i="3"/>
  <c r="I107" i="3"/>
  <c r="I106" i="3"/>
  <c r="I105" i="3"/>
  <c r="I102" i="3"/>
  <c r="I101" i="3"/>
  <c r="I100" i="3"/>
  <c r="I99" i="3"/>
  <c r="F84" i="3"/>
  <c r="E84" i="3"/>
  <c r="F83" i="3"/>
  <c r="E83" i="3"/>
  <c r="F82" i="3"/>
  <c r="E82" i="3"/>
  <c r="F81" i="3"/>
  <c r="E81" i="3"/>
  <c r="F80" i="3"/>
  <c r="E80" i="3"/>
  <c r="I79" i="3"/>
  <c r="F79" i="3"/>
  <c r="E79" i="3"/>
  <c r="I78" i="3"/>
  <c r="F78" i="3"/>
  <c r="E78" i="3"/>
  <c r="F77" i="3"/>
  <c r="E77" i="3"/>
  <c r="F76" i="3"/>
  <c r="E76" i="3"/>
  <c r="F75" i="3"/>
  <c r="E75" i="3"/>
  <c r="I84" i="3"/>
  <c r="I83" i="3"/>
  <c r="I82" i="3"/>
  <c r="I81" i="3"/>
  <c r="I80" i="3"/>
  <c r="I77" i="3"/>
  <c r="I76" i="3"/>
  <c r="I75" i="3"/>
  <c r="F60" i="3"/>
  <c r="E60" i="3"/>
  <c r="I59" i="3"/>
  <c r="F59" i="3"/>
  <c r="E59" i="3"/>
  <c r="I58" i="3"/>
  <c r="F58" i="3"/>
  <c r="E58" i="3"/>
  <c r="I57" i="3"/>
  <c r="F57" i="3"/>
  <c r="E57" i="3"/>
  <c r="I56" i="3"/>
  <c r="F56" i="3"/>
  <c r="E56" i="3"/>
  <c r="I55" i="3"/>
  <c r="F55" i="3"/>
  <c r="E55" i="3"/>
  <c r="I54" i="3"/>
  <c r="F54" i="3"/>
  <c r="E54" i="3"/>
  <c r="F42" i="3"/>
  <c r="E42" i="3"/>
  <c r="F41" i="3"/>
  <c r="E41" i="3"/>
  <c r="F40" i="3"/>
  <c r="E40" i="3"/>
  <c r="F39" i="3"/>
  <c r="E39" i="3"/>
  <c r="I41" i="3"/>
  <c r="I40" i="3"/>
  <c r="I42" i="3"/>
  <c r="F30" i="3"/>
  <c r="E30" i="3"/>
  <c r="F29" i="3"/>
  <c r="E29" i="3"/>
  <c r="I28" i="3"/>
  <c r="F28" i="3"/>
  <c r="E28" i="3"/>
  <c r="I27" i="3"/>
  <c r="F27" i="3"/>
  <c r="E27" i="3"/>
  <c r="I30" i="3"/>
  <c r="I16" i="3"/>
  <c r="I14" i="3"/>
  <c r="I60" i="3"/>
  <c r="AC19" i="4" l="1"/>
  <c r="AR5" i="4"/>
  <c r="AR19" i="4" s="1"/>
  <c r="AC20" i="4"/>
  <c r="AR6" i="4"/>
  <c r="AR20" i="4" s="1"/>
  <c r="AL35" i="4"/>
  <c r="AL37" i="4"/>
  <c r="D6" i="5"/>
  <c r="H6" i="5" a="1"/>
  <c r="H6" i="5" s="1"/>
  <c r="AE19" i="4"/>
  <c r="AQ6" i="4"/>
  <c r="AQ20" i="4" s="1"/>
  <c r="AP7" i="4"/>
  <c r="AL7" i="4"/>
  <c r="AQ7" i="4"/>
  <c r="AM7" i="4"/>
  <c r="D5" i="5"/>
  <c r="AP8" i="4"/>
  <c r="AL8" i="4"/>
  <c r="AQ8" i="4"/>
  <c r="AM8" i="4"/>
  <c r="AB68" i="4"/>
  <c r="AB69" i="4"/>
  <c r="AC68" i="4"/>
  <c r="AC69" i="4"/>
  <c r="AL55" i="4"/>
  <c r="AL68" i="4" s="1"/>
  <c r="AP55" i="4"/>
  <c r="AP56" i="4"/>
  <c r="AL56" i="4"/>
  <c r="AQ56" i="4"/>
  <c r="AM56" i="4"/>
  <c r="AP57" i="4"/>
  <c r="AL57" i="4"/>
  <c r="AQ57" i="4"/>
  <c r="AM57" i="4"/>
  <c r="AI86" i="4"/>
  <c r="AD108" i="4"/>
  <c r="AL126" i="4" s="1"/>
  <c r="AL116" i="4" s="1"/>
  <c r="AP94" i="4"/>
  <c r="AP108" i="4" s="1"/>
  <c r="AE108" i="4"/>
  <c r="AQ94" i="4"/>
  <c r="AQ108" i="4" s="1"/>
  <c r="AP96" i="4"/>
  <c r="AL96" i="4"/>
  <c r="AQ96" i="4"/>
  <c r="AM96" i="4"/>
  <c r="AP97" i="4"/>
  <c r="AL97" i="4"/>
  <c r="AQ97" i="4"/>
  <c r="AM97" i="4"/>
  <c r="E5" i="5"/>
  <c r="F5" i="5" s="1"/>
  <c r="K109" i="4"/>
  <c r="AH126" i="4" s="1"/>
  <c r="AH114" i="4" s="1"/>
  <c r="AH95" i="4"/>
  <c r="G15" i="4"/>
  <c r="G10" i="4"/>
  <c r="G11" i="4"/>
  <c r="G16" i="4"/>
  <c r="G13" i="4"/>
  <c r="G8" i="4"/>
  <c r="G6" i="4"/>
  <c r="Z68" i="4"/>
  <c r="J108" i="4"/>
  <c r="S20" i="4"/>
  <c r="L109" i="4"/>
  <c r="D13" i="5"/>
  <c r="T20" i="4"/>
  <c r="Y10" i="4"/>
  <c r="D14" i="5"/>
  <c r="Y106" i="4"/>
  <c r="Y17" i="4" s="1"/>
  <c r="Y104" i="4"/>
  <c r="Y15" i="4" s="1"/>
  <c r="Y102" i="4"/>
  <c r="Y13" i="4" s="1"/>
  <c r="Y100" i="4"/>
  <c r="Y11" i="4" s="1"/>
  <c r="Y98" i="4"/>
  <c r="Y9" i="4" s="1"/>
  <c r="Y101" i="4"/>
  <c r="Y12" i="4" s="1"/>
  <c r="Y103" i="4"/>
  <c r="Y14" i="4" s="1"/>
  <c r="Y105" i="4"/>
  <c r="Y16" i="4" s="1"/>
  <c r="Y96" i="4"/>
  <c r="AF108" i="4"/>
  <c r="AR94" i="4"/>
  <c r="AR108" i="4" s="1"/>
  <c r="G14" i="4"/>
  <c r="AL109" i="4"/>
  <c r="G9" i="4"/>
  <c r="G7" i="4"/>
  <c r="I39" i="3"/>
  <c r="G12" i="4"/>
  <c r="AJ47" i="4"/>
  <c r="AJ35" i="4" s="1"/>
  <c r="AB19" i="4"/>
  <c r="X69" i="4"/>
  <c r="X68" i="4"/>
  <c r="AD109" i="4"/>
  <c r="AP95" i="4"/>
  <c r="AP109" i="4" s="1"/>
  <c r="AN47" i="4"/>
  <c r="AN35" i="4" s="1"/>
  <c r="Y55" i="4"/>
  <c r="AM95" i="4"/>
  <c r="AE109" i="4"/>
  <c r="AQ95" i="4"/>
  <c r="AQ109" i="4" s="1"/>
  <c r="AA19" i="4"/>
  <c r="AA69" i="4"/>
  <c r="AA68" i="4"/>
  <c r="AF109" i="4"/>
  <c r="AR95" i="4"/>
  <c r="AR109" i="4" s="1"/>
  <c r="AP6" i="4"/>
  <c r="AP20" i="4" s="1"/>
  <c r="AL6" i="4"/>
  <c r="AL19" i="4" s="1"/>
  <c r="I5" i="5" s="1"/>
  <c r="H5" i="5" a="1"/>
  <c r="H5" i="5" s="1"/>
  <c r="G5" i="5" s="1"/>
  <c r="I167" i="3"/>
  <c r="D8" i="5"/>
  <c r="I168" i="3"/>
  <c r="AD68" i="4"/>
  <c r="I29" i="3"/>
  <c r="AM55" i="4"/>
  <c r="AM68" i="4" s="1"/>
  <c r="AI74" i="4" l="1"/>
  <c r="AI76" i="4"/>
  <c r="AP69" i="4"/>
  <c r="AP68" i="4"/>
  <c r="AM108" i="4"/>
  <c r="AM109" i="4"/>
  <c r="Y69" i="4"/>
  <c r="Y68" i="4"/>
  <c r="AM86" i="4" s="1"/>
  <c r="AM76" i="4" s="1"/>
  <c r="Y6" i="4"/>
  <c r="AQ55" i="4"/>
  <c r="Z95" i="4"/>
  <c r="AN95" i="4" s="1"/>
  <c r="Z59" i="4"/>
  <c r="Z65" i="4"/>
  <c r="Z60" i="4"/>
  <c r="Z96" i="4"/>
  <c r="Z62" i="4"/>
  <c r="Z66" i="4"/>
  <c r="Z57" i="4"/>
  <c r="Z63" i="4"/>
  <c r="Z105" i="4"/>
  <c r="Z55" i="4"/>
  <c r="AN86" i="4"/>
  <c r="Z108" i="4"/>
  <c r="Z106" i="4"/>
  <c r="Z56" i="4"/>
  <c r="Z64" i="4"/>
  <c r="Z58" i="4"/>
  <c r="Z61" i="4"/>
  <c r="G19" i="4"/>
  <c r="G20" i="4"/>
  <c r="Y7" i="4"/>
  <c r="Y109" i="4"/>
  <c r="Y108" i="4"/>
  <c r="AM126" i="4" s="1"/>
  <c r="AM116" i="4" s="1"/>
  <c r="AH108" i="4"/>
  <c r="AH109" i="4"/>
  <c r="J98" i="4"/>
  <c r="J58" i="4" s="1"/>
  <c r="J96" i="4"/>
  <c r="J56" i="4" s="1"/>
  <c r="J99" i="4"/>
  <c r="J59" i="4" s="1"/>
  <c r="J105" i="4"/>
  <c r="J65" i="4" s="1"/>
  <c r="J103" i="4"/>
  <c r="J63" i="4" s="1"/>
  <c r="J101" i="4"/>
  <c r="J61" i="4" s="1"/>
  <c r="J95" i="4"/>
  <c r="J104" i="4"/>
  <c r="J64" i="4" s="1"/>
  <c r="J106" i="4"/>
  <c r="J66" i="4" s="1"/>
  <c r="J102" i="4"/>
  <c r="J62" i="4" s="1"/>
  <c r="J97" i="4"/>
  <c r="J57" i="4" s="1"/>
  <c r="J100" i="4"/>
  <c r="J60" i="4" s="1"/>
  <c r="AJ126" i="4"/>
  <c r="AJ114" i="4" s="1"/>
  <c r="AL86" i="4"/>
  <c r="AL76" i="4" s="1"/>
  <c r="J5" i="5"/>
  <c r="I66" i="4" l="1"/>
  <c r="I17" i="4" s="1"/>
  <c r="H66" i="4"/>
  <c r="H17" i="4" s="1"/>
  <c r="Z104" i="4"/>
  <c r="Z98" i="4"/>
  <c r="Z102" i="4"/>
  <c r="Z13" i="4" s="1"/>
  <c r="Z100" i="4"/>
  <c r="Z11" i="4" s="1"/>
  <c r="Z109" i="4"/>
  <c r="Z103" i="4"/>
  <c r="AN126" i="4"/>
  <c r="Z97" i="4"/>
  <c r="Z8" i="4" s="1"/>
  <c r="Z99" i="4"/>
  <c r="Z10" i="4" s="1"/>
  <c r="Z101" i="4"/>
  <c r="Z12" i="4" s="1"/>
  <c r="I61" i="4"/>
  <c r="H61" i="4"/>
  <c r="H12" i="4" s="1"/>
  <c r="Z69" i="4"/>
  <c r="Z6" i="4"/>
  <c r="AR55" i="4"/>
  <c r="AN55" i="4"/>
  <c r="AN68" i="4" s="1"/>
  <c r="Z14" i="4"/>
  <c r="H56" i="4"/>
  <c r="H7" i="4" s="1"/>
  <c r="I56" i="4"/>
  <c r="Z16" i="4"/>
  <c r="AN109" i="4"/>
  <c r="AN108" i="4"/>
  <c r="AQ68" i="4"/>
  <c r="AQ69" i="4"/>
  <c r="H64" i="4"/>
  <c r="H15" i="4" s="1"/>
  <c r="I64" i="4"/>
  <c r="I15" i="4" s="1"/>
  <c r="J55" i="4"/>
  <c r="AJ95" i="4"/>
  <c r="AN114" i="4"/>
  <c r="AN74" i="4"/>
  <c r="I63" i="4"/>
  <c r="H63" i="4"/>
  <c r="H14" i="4" s="1"/>
  <c r="I65" i="4"/>
  <c r="I16" i="4" s="1"/>
  <c r="H65" i="4"/>
  <c r="H16" i="4" s="1"/>
  <c r="H59" i="4"/>
  <c r="H10" i="4" s="1"/>
  <c r="I59" i="4"/>
  <c r="Z17" i="4"/>
  <c r="I58" i="4"/>
  <c r="H58" i="4"/>
  <c r="H9" i="4" s="1"/>
  <c r="AL114" i="4"/>
  <c r="AL74" i="4"/>
  <c r="C6" i="5"/>
  <c r="E6" i="5" s="1"/>
  <c r="F6" i="5" s="1"/>
  <c r="Y19" i="4"/>
  <c r="AM6" i="4"/>
  <c r="AM19" i="4" s="1"/>
  <c r="I6" i="5" s="1"/>
  <c r="AM114" i="4"/>
  <c r="AM74" i="4"/>
  <c r="I60" i="4"/>
  <c r="H60" i="4"/>
  <c r="H11" i="4" s="1"/>
  <c r="Z9" i="4"/>
  <c r="H57" i="4"/>
  <c r="H8" i="4" s="1"/>
  <c r="I57" i="4"/>
  <c r="Z15" i="4"/>
  <c r="H62" i="4"/>
  <c r="H13" i="4" s="1"/>
  <c r="I62" i="4"/>
  <c r="Z7" i="4"/>
  <c r="AR69" i="4" l="1"/>
  <c r="AR68" i="4"/>
  <c r="C7" i="5"/>
  <c r="E7" i="5" s="1"/>
  <c r="F7" i="5" s="1"/>
  <c r="AN6" i="4"/>
  <c r="AN19" i="4" s="1"/>
  <c r="I7" i="5" s="1"/>
  <c r="AJ108" i="4"/>
  <c r="AJ109" i="4"/>
  <c r="I55" i="4"/>
  <c r="H55" i="4"/>
  <c r="AJ55" i="4"/>
  <c r="AJ68" i="4" s="1"/>
  <c r="G6" i="5"/>
  <c r="J6" i="5" s="1"/>
  <c r="I19" i="4"/>
  <c r="AM47" i="4"/>
  <c r="AM35" i="4" l="1"/>
  <c r="AM37" i="4"/>
  <c r="I108" i="4"/>
  <c r="AI47" i="4"/>
  <c r="H6" i="4"/>
  <c r="AH6" i="4" s="1"/>
  <c r="AH19" i="4" s="1"/>
  <c r="AH55" i="4"/>
  <c r="AH68" i="4" s="1"/>
  <c r="AI55" i="4"/>
  <c r="AI68" i="4" s="1"/>
  <c r="G7" i="5"/>
  <c r="J7" i="5" s="1"/>
  <c r="AI35" i="4" l="1"/>
  <c r="AI37" i="4"/>
  <c r="I101" i="4"/>
  <c r="I12" i="4" s="1"/>
  <c r="I98" i="4"/>
  <c r="I9" i="4" s="1"/>
  <c r="I96" i="4"/>
  <c r="I7" i="4" s="1"/>
  <c r="I103" i="4"/>
  <c r="I14" i="4" s="1"/>
  <c r="I100" i="4"/>
  <c r="I11" i="4" s="1"/>
  <c r="I102" i="4"/>
  <c r="I13" i="4" s="1"/>
  <c r="I95" i="4"/>
  <c r="I97" i="4"/>
  <c r="I8" i="4" s="1"/>
  <c r="I99" i="4"/>
  <c r="I10" i="4" s="1"/>
  <c r="AI126" i="4"/>
  <c r="AI114" i="4" l="1"/>
  <c r="AI116" i="4"/>
  <c r="AI95" i="4"/>
  <c r="I6" i="4"/>
  <c r="AI6" i="4" s="1"/>
  <c r="AI19" i="4" s="1"/>
  <c r="AI108" i="4" l="1"/>
  <c r="AI109" i="4"/>
</calcChain>
</file>

<file path=xl/sharedStrings.xml><?xml version="1.0" encoding="utf-8"?>
<sst xmlns="http://schemas.openxmlformats.org/spreadsheetml/2006/main" count="5296" uniqueCount="786">
  <si>
    <t>Project ID</t>
  </si>
  <si>
    <t>Drive Time</t>
  </si>
  <si>
    <t>Tilt</t>
  </si>
  <si>
    <t>Azimuth</t>
  </si>
  <si>
    <t>Panel QTY</t>
  </si>
  <si>
    <t>System Rating (kW DC)</t>
  </si>
  <si>
    <t>Inverter Manufacturer</t>
  </si>
  <si>
    <t>Array Type</t>
  </si>
  <si>
    <t>Squirrel Screen</t>
  </si>
  <si>
    <t>Consumption Monitoring</t>
  </si>
  <si>
    <t>Truss / Rafter</t>
  </si>
  <si>
    <t>Reinforce- 
ments</t>
  </si>
  <si>
    <t>Rough Electrical Inspection</t>
  </si>
  <si>
    <t>Interconnection Type</t>
  </si>
  <si>
    <t>Module Length</t>
  </si>
  <si>
    <t>Module Width</t>
  </si>
  <si>
    <t>Module Weight</t>
  </si>
  <si>
    <t># of Arrays</t>
  </si>
  <si>
    <t># of reinforcement</t>
  </si>
  <si>
    <t>Roof Type</t>
  </si>
  <si>
    <t>Attachment Type</t>
  </si>
  <si>
    <t>Portrait / Landscape</t>
  </si>
  <si>
    <t># of Stories</t>
  </si>
  <si>
    <t>Install Season</t>
  </si>
  <si>
    <t>Total Direct Time for Project for Hourly Employees (Including Drive Time)</t>
  </si>
  <si>
    <t>Total # of Days on Site</t>
  </si>
  <si>
    <t>Total # Hourly Empoyees on Site</t>
  </si>
  <si>
    <t>Estimated # of Salaried Employees on Site</t>
  </si>
  <si>
    <t>Estimated Salary Hours</t>
  </si>
  <si>
    <t>Estimated Total Direct Time</t>
  </si>
  <si>
    <t>Estimated Total # of People on Site</t>
  </si>
  <si>
    <t>Notes</t>
  </si>
  <si>
    <t>001</t>
  </si>
  <si>
    <t>21 mins</t>
  </si>
  <si>
    <t>33°</t>
  </si>
  <si>
    <t>180°</t>
  </si>
  <si>
    <t>SolarEdge</t>
  </si>
  <si>
    <t>Roof Mount</t>
  </si>
  <si>
    <t>Yes</t>
  </si>
  <si>
    <t>Truss</t>
  </si>
  <si>
    <t>No</t>
  </si>
  <si>
    <t>A1</t>
  </si>
  <si>
    <t>Asphalt Shingles</t>
  </si>
  <si>
    <t>Flashfoot 2</t>
  </si>
  <si>
    <t>Portrait</t>
  </si>
  <si>
    <t>Spring</t>
  </si>
  <si>
    <t>002</t>
  </si>
  <si>
    <t>23 mins</t>
  </si>
  <si>
    <t>45°</t>
  </si>
  <si>
    <t>139°</t>
  </si>
  <si>
    <t>Rafter</t>
  </si>
  <si>
    <t>003</t>
  </si>
  <si>
    <t>24°</t>
  </si>
  <si>
    <t>A3</t>
  </si>
  <si>
    <t>004</t>
  </si>
  <si>
    <t>38 mins</t>
  </si>
  <si>
    <t>20°</t>
  </si>
  <si>
    <t>104°</t>
  </si>
  <si>
    <t>Enphase</t>
  </si>
  <si>
    <t>C2</t>
  </si>
  <si>
    <t>Yes this job and the one below it both happened</t>
  </si>
  <si>
    <t>005</t>
  </si>
  <si>
    <t>Both</t>
  </si>
  <si>
    <t>Yes this job and the one above it both happened</t>
  </si>
  <si>
    <t>006</t>
  </si>
  <si>
    <t>45 mins</t>
  </si>
  <si>
    <t>18.4°</t>
  </si>
  <si>
    <t>Unknown</t>
  </si>
  <si>
    <t>007</t>
  </si>
  <si>
    <t>24 mins</t>
  </si>
  <si>
    <t>26°</t>
  </si>
  <si>
    <t>200°</t>
  </si>
  <si>
    <t>008</t>
  </si>
  <si>
    <t>10°</t>
  </si>
  <si>
    <t>205°</t>
  </si>
  <si>
    <t>B2</t>
  </si>
  <si>
    <t>009</t>
  </si>
  <si>
    <t>30 mins</t>
  </si>
  <si>
    <t>18°</t>
  </si>
  <si>
    <t>185°</t>
  </si>
  <si>
    <t>A2</t>
  </si>
  <si>
    <t>010</t>
  </si>
  <si>
    <t>6 mins</t>
  </si>
  <si>
    <t>31°</t>
  </si>
  <si>
    <t>90°</t>
  </si>
  <si>
    <t>Landscape</t>
  </si>
  <si>
    <t>011</t>
  </si>
  <si>
    <t>16 mins</t>
  </si>
  <si>
    <t>26.6°</t>
  </si>
  <si>
    <t>130°</t>
  </si>
  <si>
    <t>012</t>
  </si>
  <si>
    <t>51 mins</t>
  </si>
  <si>
    <t>C*</t>
  </si>
  <si>
    <t>013</t>
  </si>
  <si>
    <t>10 mins</t>
  </si>
  <si>
    <t>215°</t>
  </si>
  <si>
    <t>014</t>
  </si>
  <si>
    <t>36 mins</t>
  </si>
  <si>
    <t>35°/27°</t>
  </si>
  <si>
    <t>230°/140°</t>
  </si>
  <si>
    <t>C3</t>
  </si>
  <si>
    <t>015</t>
  </si>
  <si>
    <t>9 mins</t>
  </si>
  <si>
    <t>C1</t>
  </si>
  <si>
    <t>016</t>
  </si>
  <si>
    <t>32°</t>
  </si>
  <si>
    <t>218°</t>
  </si>
  <si>
    <t>017</t>
  </si>
  <si>
    <t>018</t>
  </si>
  <si>
    <t>25 mins</t>
  </si>
  <si>
    <t>14°</t>
  </si>
  <si>
    <t>170°</t>
  </si>
  <si>
    <t>Standing Seam Metal Roof</t>
  </si>
  <si>
    <t>S-5!</t>
  </si>
  <si>
    <t>Summer</t>
  </si>
  <si>
    <t>019</t>
  </si>
  <si>
    <t>7 mins</t>
  </si>
  <si>
    <t>36°</t>
  </si>
  <si>
    <t>020</t>
  </si>
  <si>
    <t>49 mins</t>
  </si>
  <si>
    <t>10°/18°</t>
  </si>
  <si>
    <t>190°</t>
  </si>
  <si>
    <t>Purlin</t>
  </si>
  <si>
    <t>Ag Metal</t>
  </si>
  <si>
    <t>Ejot</t>
  </si>
  <si>
    <t>021</t>
  </si>
  <si>
    <t>44 mins</t>
  </si>
  <si>
    <t>B*</t>
  </si>
  <si>
    <t>022</t>
  </si>
  <si>
    <t>11 mins</t>
  </si>
  <si>
    <t>10°/38°</t>
  </si>
  <si>
    <t>235°</t>
  </si>
  <si>
    <t>EPDM (Flat Roof)</t>
  </si>
  <si>
    <t>Flashloc RM</t>
  </si>
  <si>
    <t>023</t>
  </si>
  <si>
    <t>A*</t>
  </si>
  <si>
    <t>024</t>
  </si>
  <si>
    <t>40 mins</t>
  </si>
  <si>
    <t>108°</t>
  </si>
  <si>
    <t>025</t>
  </si>
  <si>
    <t>17 mins</t>
  </si>
  <si>
    <t>18°/21°</t>
  </si>
  <si>
    <t>026</t>
  </si>
  <si>
    <t>29 mins</t>
  </si>
  <si>
    <t>16°/16°</t>
  </si>
  <si>
    <t>178°/267°</t>
  </si>
  <si>
    <t>B1</t>
  </si>
  <si>
    <t>Fall</t>
  </si>
  <si>
    <t>027</t>
  </si>
  <si>
    <t>28 mins</t>
  </si>
  <si>
    <t>SMA</t>
  </si>
  <si>
    <t>028</t>
  </si>
  <si>
    <t>029</t>
  </si>
  <si>
    <t>4 mins</t>
  </si>
  <si>
    <t>25°</t>
  </si>
  <si>
    <t>165°</t>
  </si>
  <si>
    <t>030</t>
  </si>
  <si>
    <t>031</t>
  </si>
  <si>
    <t>26 mins</t>
  </si>
  <si>
    <t>34°</t>
  </si>
  <si>
    <t>260°</t>
  </si>
  <si>
    <t>032</t>
  </si>
  <si>
    <t>12 mins</t>
  </si>
  <si>
    <t>19°</t>
  </si>
  <si>
    <t>177°/260°</t>
  </si>
  <si>
    <t>033</t>
  </si>
  <si>
    <t>13 mins</t>
  </si>
  <si>
    <t>034</t>
  </si>
  <si>
    <t>42 mins</t>
  </si>
  <si>
    <t>30°</t>
  </si>
  <si>
    <t>035</t>
  </si>
  <si>
    <t>15 mins</t>
  </si>
  <si>
    <t>270°</t>
  </si>
  <si>
    <t>036</t>
  </si>
  <si>
    <t>037</t>
  </si>
  <si>
    <t>38°</t>
  </si>
  <si>
    <t>173°</t>
  </si>
  <si>
    <t>038</t>
  </si>
  <si>
    <t>16°</t>
  </si>
  <si>
    <t>192°</t>
  </si>
  <si>
    <t>039</t>
  </si>
  <si>
    <t>157°</t>
  </si>
  <si>
    <t>040</t>
  </si>
  <si>
    <t>22 mins</t>
  </si>
  <si>
    <t>148°/240°</t>
  </si>
  <si>
    <t>041</t>
  </si>
  <si>
    <t>042</t>
  </si>
  <si>
    <t>162°</t>
  </si>
  <si>
    <t>044</t>
  </si>
  <si>
    <t>20°/37°</t>
  </si>
  <si>
    <t>215°/125°</t>
  </si>
  <si>
    <t>045</t>
  </si>
  <si>
    <t>23°</t>
  </si>
  <si>
    <t>135°</t>
  </si>
  <si>
    <t>046</t>
  </si>
  <si>
    <t>Ground Mount</t>
  </si>
  <si>
    <t>Grount Mount</t>
  </si>
  <si>
    <t>047</t>
  </si>
  <si>
    <t>18 mins</t>
  </si>
  <si>
    <t>28°</t>
  </si>
  <si>
    <t>049</t>
  </si>
  <si>
    <t>43 mins</t>
  </si>
  <si>
    <t>050</t>
  </si>
  <si>
    <t>56 mins</t>
  </si>
  <si>
    <t>051</t>
  </si>
  <si>
    <t>27 mins</t>
  </si>
  <si>
    <t>180°/90°</t>
  </si>
  <si>
    <t>052</t>
  </si>
  <si>
    <t>054</t>
  </si>
  <si>
    <t>175°</t>
  </si>
  <si>
    <t>055</t>
  </si>
  <si>
    <t>22°</t>
  </si>
  <si>
    <t>056</t>
  </si>
  <si>
    <t>33 mins</t>
  </si>
  <si>
    <t>37°</t>
  </si>
  <si>
    <t>057</t>
  </si>
  <si>
    <t>058</t>
  </si>
  <si>
    <t>060</t>
  </si>
  <si>
    <t>061</t>
  </si>
  <si>
    <t>062</t>
  </si>
  <si>
    <t>37 mins</t>
  </si>
  <si>
    <t>245°</t>
  </si>
  <si>
    <t>Winter</t>
  </si>
  <si>
    <t>063</t>
  </si>
  <si>
    <t>064</t>
  </si>
  <si>
    <t>230°</t>
  </si>
  <si>
    <t>065</t>
  </si>
  <si>
    <t>066</t>
  </si>
  <si>
    <t>067</t>
  </si>
  <si>
    <t>068</t>
  </si>
  <si>
    <t>069</t>
  </si>
  <si>
    <t>22.6°</t>
  </si>
  <si>
    <t>90°/180°/270°</t>
  </si>
  <si>
    <t>Installed a car charger</t>
  </si>
  <si>
    <t>070</t>
  </si>
  <si>
    <t>32 mins</t>
  </si>
  <si>
    <t>071</t>
  </si>
  <si>
    <t>21°</t>
  </si>
  <si>
    <t>072</t>
  </si>
  <si>
    <t>14 mins</t>
  </si>
  <si>
    <t>073</t>
  </si>
  <si>
    <t>074</t>
  </si>
  <si>
    <t>075</t>
  </si>
  <si>
    <t>3 mins</t>
  </si>
  <si>
    <t>076</t>
  </si>
  <si>
    <t>210°</t>
  </si>
  <si>
    <t>077</t>
  </si>
  <si>
    <t>39 mins</t>
  </si>
  <si>
    <t>078</t>
  </si>
  <si>
    <t>140°</t>
  </si>
  <si>
    <t>079</t>
  </si>
  <si>
    <t>260°/80°</t>
  </si>
  <si>
    <t>080</t>
  </si>
  <si>
    <t>084</t>
  </si>
  <si>
    <t>17°</t>
  </si>
  <si>
    <t>Time data looks wrong to me</t>
  </si>
  <si>
    <t>085</t>
  </si>
  <si>
    <t>155°</t>
  </si>
  <si>
    <t>TJI</t>
  </si>
  <si>
    <t>RT Mini</t>
  </si>
  <si>
    <t>087</t>
  </si>
  <si>
    <t>270°/180°/90°</t>
  </si>
  <si>
    <t>089</t>
  </si>
  <si>
    <t>115°</t>
  </si>
  <si>
    <t>time data looks wrong to me</t>
  </si>
  <si>
    <t>090</t>
  </si>
  <si>
    <t>270°/90°</t>
  </si>
  <si>
    <t>091</t>
  </si>
  <si>
    <t>14°/18°</t>
  </si>
  <si>
    <t>180°/270°</t>
  </si>
  <si>
    <t>092</t>
  </si>
  <si>
    <t>34 mins</t>
  </si>
  <si>
    <t>093</t>
  </si>
  <si>
    <t>48 mins</t>
  </si>
  <si>
    <t>145°</t>
  </si>
  <si>
    <t>094</t>
  </si>
  <si>
    <t>095</t>
  </si>
  <si>
    <t>1 hour 32 mins</t>
  </si>
  <si>
    <t>096</t>
  </si>
  <si>
    <t>104</t>
  </si>
  <si>
    <t>112</t>
  </si>
  <si>
    <t>170°/260°</t>
  </si>
  <si>
    <t>119</t>
  </si>
  <si>
    <t>200°/110°</t>
  </si>
  <si>
    <t>160</t>
  </si>
  <si>
    <t>31 mins</t>
  </si>
  <si>
    <t>120°/210°</t>
  </si>
  <si>
    <t>Data from here onwards is much more accurate</t>
  </si>
  <si>
    <t>161</t>
  </si>
  <si>
    <t>162</t>
  </si>
  <si>
    <t>A4</t>
  </si>
  <si>
    <t>163</t>
  </si>
  <si>
    <t>164</t>
  </si>
  <si>
    <t>165</t>
  </si>
  <si>
    <t>40°</t>
  </si>
  <si>
    <t>New construction</t>
  </si>
  <si>
    <t>166</t>
  </si>
  <si>
    <t>26°/40°</t>
  </si>
  <si>
    <t>260°/170°</t>
  </si>
  <si>
    <t>New construction - lots of trips</t>
  </si>
  <si>
    <t>167</t>
  </si>
  <si>
    <t>168</t>
  </si>
  <si>
    <t>169</t>
  </si>
  <si>
    <t>170</t>
  </si>
  <si>
    <t>171</t>
  </si>
  <si>
    <t>172</t>
  </si>
  <si>
    <t>19 mins</t>
  </si>
  <si>
    <t>173</t>
  </si>
  <si>
    <t>174</t>
  </si>
  <si>
    <t>175</t>
  </si>
  <si>
    <t>176</t>
  </si>
  <si>
    <t>240°/60°</t>
  </si>
  <si>
    <t>This is the time for both this project and the one below combined</t>
  </si>
  <si>
    <t>178</t>
  </si>
  <si>
    <t>179</t>
  </si>
  <si>
    <t>180</t>
  </si>
  <si>
    <t>181</t>
  </si>
  <si>
    <t>182</t>
  </si>
  <si>
    <t>58 mins</t>
  </si>
  <si>
    <t>183</t>
  </si>
  <si>
    <t>100°/190°</t>
  </si>
  <si>
    <t>184</t>
  </si>
  <si>
    <t>185</t>
  </si>
  <si>
    <t>122°</t>
  </si>
  <si>
    <t>186</t>
  </si>
  <si>
    <t>20 mins</t>
  </si>
  <si>
    <t>27°</t>
  </si>
  <si>
    <t>187</t>
  </si>
  <si>
    <t>188</t>
  </si>
  <si>
    <t>189</t>
  </si>
  <si>
    <t>100°</t>
  </si>
  <si>
    <t>190</t>
  </si>
  <si>
    <t>191</t>
  </si>
  <si>
    <t>30°/35°</t>
  </si>
  <si>
    <t>255°/165°</t>
  </si>
  <si>
    <t>192</t>
  </si>
  <si>
    <t>195°</t>
  </si>
  <si>
    <t>193</t>
  </si>
  <si>
    <t>194</t>
  </si>
  <si>
    <t>195</t>
  </si>
  <si>
    <t>196</t>
  </si>
  <si>
    <t>197</t>
  </si>
  <si>
    <t>198</t>
  </si>
  <si>
    <t>262°</t>
  </si>
  <si>
    <t>199</t>
  </si>
  <si>
    <t>1 hour 2 mins</t>
  </si>
  <si>
    <t>200</t>
  </si>
  <si>
    <t>1 hour 3 mins</t>
  </si>
  <si>
    <t>201</t>
  </si>
  <si>
    <t>202</t>
  </si>
  <si>
    <t>41 mins</t>
  </si>
  <si>
    <t>New Construction - Lots of trips</t>
  </si>
  <si>
    <t>203</t>
  </si>
  <si>
    <t>Long Trench</t>
  </si>
  <si>
    <t>204</t>
  </si>
  <si>
    <t>205</t>
  </si>
  <si>
    <t>206</t>
  </si>
  <si>
    <t>225°</t>
  </si>
  <si>
    <t>Detached building + trench</t>
  </si>
  <si>
    <t>207</t>
  </si>
  <si>
    <t>208</t>
  </si>
  <si>
    <t>209</t>
  </si>
  <si>
    <t>210</t>
  </si>
  <si>
    <t>New Construction</t>
  </si>
  <si>
    <t>211</t>
  </si>
  <si>
    <t>212</t>
  </si>
  <si>
    <t>50°</t>
  </si>
  <si>
    <t>213</t>
  </si>
  <si>
    <t>9.5°</t>
  </si>
  <si>
    <t>0°</t>
  </si>
  <si>
    <t>Really weird project</t>
  </si>
  <si>
    <t>214</t>
  </si>
  <si>
    <t>Long trench</t>
  </si>
  <si>
    <t>215</t>
  </si>
  <si>
    <t>216</t>
  </si>
  <si>
    <t>217</t>
  </si>
  <si>
    <t>218</t>
  </si>
  <si>
    <t>219</t>
  </si>
  <si>
    <t>Flashview</t>
  </si>
  <si>
    <t>system addition</t>
  </si>
  <si>
    <t>220</t>
  </si>
  <si>
    <t>222</t>
  </si>
  <si>
    <t>160°</t>
  </si>
  <si>
    <t>223</t>
  </si>
  <si>
    <t>224</t>
  </si>
  <si>
    <t>225</t>
  </si>
  <si>
    <t>27°/8°</t>
  </si>
  <si>
    <t>226</t>
  </si>
  <si>
    <t>227</t>
  </si>
  <si>
    <t>228</t>
  </si>
  <si>
    <t>229</t>
  </si>
  <si>
    <t>165°/225°</t>
  </si>
  <si>
    <t>Some rework after the fact, but I don't think it's included in the time tracking data</t>
  </si>
  <si>
    <t>230</t>
  </si>
  <si>
    <t>231</t>
  </si>
  <si>
    <t>232</t>
  </si>
  <si>
    <t>N/A</t>
  </si>
  <si>
    <t>233</t>
  </si>
  <si>
    <t>238</t>
  </si>
  <si>
    <t>239</t>
  </si>
  <si>
    <t>240</t>
  </si>
  <si>
    <t>17.5°</t>
  </si>
  <si>
    <t>241</t>
  </si>
  <si>
    <t>242</t>
  </si>
  <si>
    <t>52 mins</t>
  </si>
  <si>
    <t>176°/86°</t>
  </si>
  <si>
    <t>244</t>
  </si>
  <si>
    <t>33.7°</t>
  </si>
  <si>
    <t>245</t>
  </si>
  <si>
    <t>246</t>
  </si>
  <si>
    <t>206°/116°</t>
  </si>
  <si>
    <t>247</t>
  </si>
  <si>
    <t>18°/27°</t>
  </si>
  <si>
    <t>225°/135°/45°</t>
  </si>
  <si>
    <t>GoodWe</t>
  </si>
  <si>
    <t>Adjusted direct time due to time tracking errors</t>
  </si>
  <si>
    <t>248</t>
  </si>
  <si>
    <t>225°/135°</t>
  </si>
  <si>
    <t>249</t>
  </si>
  <si>
    <t>250</t>
  </si>
  <si>
    <t>251</t>
  </si>
  <si>
    <t>50 mins</t>
  </si>
  <si>
    <t>252</t>
  </si>
  <si>
    <t>135°/225°</t>
  </si>
  <si>
    <t>Hugs</t>
  </si>
  <si>
    <t>253</t>
  </si>
  <si>
    <t>185°/95°</t>
  </si>
  <si>
    <t>254</t>
  </si>
  <si>
    <t>255</t>
  </si>
  <si>
    <t>256</t>
  </si>
  <si>
    <t>35°</t>
  </si>
  <si>
    <t>High winds slowed us down</t>
  </si>
  <si>
    <t>257</t>
  </si>
  <si>
    <t>24°/14°</t>
  </si>
  <si>
    <t>258</t>
  </si>
  <si>
    <t>46 mins</t>
  </si>
  <si>
    <t>220°/130°</t>
  </si>
  <si>
    <t>259</t>
  </si>
  <si>
    <t>260</t>
  </si>
  <si>
    <t>261</t>
  </si>
  <si>
    <t>262</t>
  </si>
  <si>
    <t>90°/180°</t>
  </si>
  <si>
    <t>263</t>
  </si>
  <si>
    <t>264</t>
  </si>
  <si>
    <t>265</t>
  </si>
  <si>
    <t>110°/200°</t>
  </si>
  <si>
    <t>Rough electrical ahead of time. Also installed an EV charger</t>
  </si>
  <si>
    <t>266</t>
  </si>
  <si>
    <t>220°</t>
  </si>
  <si>
    <t>267</t>
  </si>
  <si>
    <t>100/190</t>
  </si>
  <si>
    <t>268</t>
  </si>
  <si>
    <t>269</t>
  </si>
  <si>
    <t>145°/232°</t>
  </si>
  <si>
    <t>270</t>
  </si>
  <si>
    <t>271</t>
  </si>
  <si>
    <t>272</t>
  </si>
  <si>
    <t>273</t>
  </si>
  <si>
    <t>Trenching</t>
  </si>
  <si>
    <t>274</t>
  </si>
  <si>
    <t>Some electrical re-work after the fact, but I don't think it's included in the time tracking</t>
  </si>
  <si>
    <t>275</t>
  </si>
  <si>
    <t>47 mins</t>
  </si>
  <si>
    <t>A super weird one</t>
  </si>
  <si>
    <t>276</t>
  </si>
  <si>
    <t>277</t>
  </si>
  <si>
    <t>47°</t>
  </si>
  <si>
    <t>278</t>
  </si>
  <si>
    <t>236°</t>
  </si>
  <si>
    <t>279</t>
  </si>
  <si>
    <t>280</t>
  </si>
  <si>
    <t>281</t>
  </si>
  <si>
    <t>120/210</t>
  </si>
  <si>
    <t>282</t>
  </si>
  <si>
    <t>283</t>
  </si>
  <si>
    <t>284</t>
  </si>
  <si>
    <t>285</t>
  </si>
  <si>
    <t>286</t>
  </si>
  <si>
    <t>287</t>
  </si>
  <si>
    <t>288</t>
  </si>
  <si>
    <t>8 mins</t>
  </si>
  <si>
    <t>289</t>
  </si>
  <si>
    <t>290</t>
  </si>
  <si>
    <t>33/37</t>
  </si>
  <si>
    <t>247/157/67</t>
  </si>
  <si>
    <t>291</t>
  </si>
  <si>
    <t>18.4/9.4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</si>
  <si>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</si>
  <si>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</si>
  <si>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</si>
  <si>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</si>
  <si>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</si>
  <si>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</si>
  <si>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</si>
  <si>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</si>
  <si>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</si>
  <si>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33/40</t>
  </si>
  <si>
    <t>134/223</t>
  </si>
  <si>
    <t>301</t>
  </si>
  <si>
    <t>302</t>
  </si>
  <si>
    <t>90/180/270</t>
  </si>
  <si>
    <t>303</t>
  </si>
  <si>
    <t>304</t>
  </si>
  <si>
    <t>90/180</t>
  </si>
  <si>
    <t>305</t>
  </si>
  <si>
    <t>306</t>
  </si>
  <si>
    <t>37/23</t>
  </si>
  <si>
    <t>307</t>
  </si>
  <si>
    <t>302/213</t>
  </si>
  <si>
    <t>308</t>
  </si>
  <si>
    <t>309</t>
  </si>
  <si>
    <t>310</t>
  </si>
  <si>
    <t>22/36</t>
  </si>
  <si>
    <t>138/228</t>
  </si>
  <si>
    <t>311</t>
  </si>
  <si>
    <t>189/99</t>
  </si>
  <si>
    <t>312</t>
  </si>
  <si>
    <t>180/90</t>
  </si>
  <si>
    <t>313</t>
  </si>
  <si>
    <t>314</t>
  </si>
  <si>
    <t>208/116</t>
  </si>
  <si>
    <t>315</t>
  </si>
  <si>
    <t>316</t>
  </si>
  <si>
    <t>317</t>
  </si>
  <si>
    <t>318</t>
  </si>
  <si>
    <t>319</t>
  </si>
  <si>
    <t>320</t>
  </si>
  <si>
    <t>321</t>
  </si>
  <si>
    <t>322</t>
  </si>
  <si>
    <t>18/27</t>
  </si>
  <si>
    <t>179/269</t>
  </si>
  <si>
    <t>323</t>
  </si>
  <si>
    <t>324</t>
  </si>
  <si>
    <t>220/140&amp;220</t>
  </si>
  <si>
    <t>325</t>
  </si>
  <si>
    <t>280/100</t>
  </si>
  <si>
    <t>326</t>
  </si>
  <si>
    <t>290/200</t>
  </si>
  <si>
    <t>327</t>
  </si>
  <si>
    <t>328</t>
  </si>
  <si>
    <t>91/181</t>
  </si>
  <si>
    <t>329</t>
  </si>
  <si>
    <t>330</t>
  </si>
  <si>
    <t>89/269</t>
  </si>
  <si>
    <t>331</t>
  </si>
  <si>
    <t>19/17</t>
  </si>
  <si>
    <t>332</t>
  </si>
  <si>
    <t>333</t>
  </si>
  <si>
    <t>94/184</t>
  </si>
  <si>
    <t>334</t>
  </si>
  <si>
    <t>335</t>
  </si>
  <si>
    <t>336</t>
  </si>
  <si>
    <t>102/282</t>
  </si>
  <si>
    <t>337</t>
  </si>
  <si>
    <t>258/78</t>
  </si>
  <si>
    <t>338</t>
  </si>
  <si>
    <t>339</t>
  </si>
  <si>
    <t>340</t>
  </si>
  <si>
    <t>341</t>
  </si>
  <si>
    <t>342</t>
  </si>
  <si>
    <t>343</t>
  </si>
  <si>
    <t>344</t>
  </si>
  <si>
    <t>144/234</t>
  </si>
  <si>
    <t>345</t>
  </si>
  <si>
    <t>229/139</t>
  </si>
  <si>
    <t>346</t>
  </si>
  <si>
    <t>149/239</t>
  </si>
  <si>
    <t>347</t>
  </si>
  <si>
    <t>348</t>
  </si>
  <si>
    <t>350</t>
  </si>
  <si>
    <t>Really terrible weather for this project</t>
  </si>
  <si>
    <t>351</t>
  </si>
  <si>
    <t>352</t>
  </si>
  <si>
    <t>353</t>
  </si>
  <si>
    <t>163/250/70</t>
  </si>
  <si>
    <t>354</t>
  </si>
  <si>
    <t>Analysis of MSP Residential and Commercial Data</t>
  </si>
  <si>
    <t>Year</t>
  </si>
  <si>
    <t>2025 Estimated Full Year Info Based on Data</t>
  </si>
  <si>
    <t>2025 Estimated Full Year of Info Based on Business Plan</t>
  </si>
  <si>
    <t># of Installs</t>
  </si>
  <si>
    <t>kW Installed</t>
  </si>
  <si>
    <t>Install Revenue</t>
  </si>
  <si>
    <t>Est. CoGs</t>
  </si>
  <si>
    <t>-</t>
  </si>
  <si>
    <t>Est. Margin $</t>
  </si>
  <si>
    <t>Estimated Direct Labor Costs</t>
  </si>
  <si>
    <t>Estimated EC Cost</t>
  </si>
  <si>
    <t>Actual EC Cost</t>
  </si>
  <si>
    <t>Average System Price</t>
  </si>
  <si>
    <t>#DIV/0!</t>
  </si>
  <si>
    <t>Median System Price</t>
  </si>
  <si>
    <t>#REF!</t>
  </si>
  <si>
    <t>Average kW/Install</t>
  </si>
  <si>
    <t>Median kW/Install</t>
  </si>
  <si>
    <t>Average $/W</t>
  </si>
  <si>
    <t>Median $/W</t>
  </si>
  <si>
    <t># of People</t>
  </si>
  <si>
    <t>Utility Breakdown - Count</t>
  </si>
  <si>
    <t>MGE</t>
  </si>
  <si>
    <t>Alliant</t>
  </si>
  <si>
    <t>WE Energies</t>
  </si>
  <si>
    <t>Other</t>
  </si>
  <si>
    <t>Utility Breakdown - Percent</t>
  </si>
  <si>
    <t>Inverter Manufacturer - Count</t>
  </si>
  <si>
    <t>Inverter Manufacturer - Percent</t>
  </si>
  <si>
    <t>Panel Manufacturer - Count</t>
  </si>
  <si>
    <t>REC</t>
  </si>
  <si>
    <t>Silfab</t>
  </si>
  <si>
    <t>Aptos Solar</t>
  </si>
  <si>
    <t>Q-Cell</t>
  </si>
  <si>
    <t>Phono Solar</t>
  </si>
  <si>
    <t>Trina Solar</t>
  </si>
  <si>
    <t>Panel Manufacturer - Percentage</t>
  </si>
  <si>
    <t>System Size (kW)</t>
  </si>
  <si>
    <t>0-2</t>
  </si>
  <si>
    <t>15-20</t>
  </si>
  <si>
    <t>20-50</t>
  </si>
  <si>
    <t>&gt;50</t>
  </si>
  <si>
    <t>System Size - Percentage</t>
  </si>
  <si>
    <t>Contract Value - Count</t>
  </si>
  <si>
    <t>$0 - $10,000</t>
  </si>
  <si>
    <t>$10,001 - $15,000</t>
  </si>
  <si>
    <t>$15,001 - $20,000</t>
  </si>
  <si>
    <t>$20,001 - $25,000</t>
  </si>
  <si>
    <t>$25,001 - $30,000</t>
  </si>
  <si>
    <t>$30,001 - $35,000</t>
  </si>
  <si>
    <t>$35,001 - $40,000</t>
  </si>
  <si>
    <t>$40,001 - $45,000</t>
  </si>
  <si>
    <t>$45,001 - $50,000</t>
  </si>
  <si>
    <t>Above $50,000</t>
  </si>
  <si>
    <t>Contract Value - Percent</t>
  </si>
  <si>
    <t>Interconnection Type - Count</t>
  </si>
  <si>
    <t>QTY by Job Type</t>
  </si>
  <si>
    <t>Residential</t>
  </si>
  <si>
    <t>Commercial</t>
  </si>
  <si>
    <t>Revenue by Job Type</t>
  </si>
  <si>
    <t>Margin by Job Type</t>
  </si>
  <si>
    <t>Estimated Direct Labor by Job Type</t>
  </si>
  <si>
    <t>kW by Job Type</t>
  </si>
  <si>
    <t>Average kW by Job Type</t>
  </si>
  <si>
    <t>Average Revenue by Job Type</t>
  </si>
  <si>
    <t>Average Margin by Job Type</t>
  </si>
  <si>
    <t>Average Margin + Labor by Job Type</t>
  </si>
  <si>
    <t>QTY by Job Category</t>
  </si>
  <si>
    <t>Category 1</t>
  </si>
  <si>
    <t>Category 2</t>
  </si>
  <si>
    <t>Category 3</t>
  </si>
  <si>
    <t>Revenue by Job Category</t>
  </si>
  <si>
    <t>Margin by Job Category</t>
  </si>
  <si>
    <t>kW by Job Category</t>
  </si>
  <si>
    <t>Average kW by Job Category</t>
  </si>
  <si>
    <t>Average Revenue by Job Category</t>
  </si>
  <si>
    <t>Average Margin by Job Category</t>
  </si>
  <si>
    <t>Truss Install QTY</t>
  </si>
  <si>
    <t>Rafter or Purlin Install QTY</t>
  </si>
  <si>
    <t>Reinforcement Install QTY</t>
  </si>
  <si>
    <t>Percent of installs that are Truss</t>
  </si>
  <si>
    <t>Percent of installs that are Rafter or Purlin</t>
  </si>
  <si>
    <t>Percent of Rafter installs needing reinforcement</t>
  </si>
  <si>
    <t>Percent of total installs needing reinforcement</t>
  </si>
  <si>
    <t>% Projects in City of Madison</t>
  </si>
  <si>
    <t>OVERALL - RESIDENTIAL + COMMERCIAL</t>
  </si>
  <si>
    <t>Budgetted Bookings</t>
  </si>
  <si>
    <t>Actual Bookings (non service)</t>
  </si>
  <si>
    <t>Permits</t>
  </si>
  <si>
    <t>Utility Applications</t>
  </si>
  <si>
    <t>Budgetted Install Schedule</t>
  </si>
  <si>
    <t>Planned Installs at Contract Signing (non service)</t>
  </si>
  <si>
    <t>Actual Installations (non service)</t>
  </si>
  <si>
    <t>Budgeted Bookings vs Actual Bookings</t>
  </si>
  <si>
    <t>Budgeted Installs vs Actual Installs</t>
  </si>
  <si>
    <t>Planned Installs at Contract vs Actual Install</t>
  </si>
  <si>
    <t>Month</t>
  </si>
  <si>
    <t>Derived Booking Value percentage per Month</t>
  </si>
  <si>
    <t>QTY Booked</t>
  </si>
  <si>
    <t>kW Booked</t>
  </si>
  <si>
    <t>Contract Value of Booked Systems</t>
  </si>
  <si>
    <t>Permits Submitted</t>
  </si>
  <si>
    <t>Permits Approved</t>
  </si>
  <si>
    <t>Jobs with Unsubmitted Permits</t>
  </si>
  <si>
    <t>Outstanding Submitted Permits MTD or at Months End</t>
  </si>
  <si>
    <t>Total Approved But Uninstalled Permits MTD or at Month End</t>
  </si>
  <si>
    <t>Utility Applications Submitted</t>
  </si>
  <si>
    <t>Utility Applications Approved</t>
  </si>
  <si>
    <t>Jobs with Unsubmitted Utility Applications</t>
  </si>
  <si>
    <t>Outstanding Submitted Utility Applications MTD or at Months End</t>
  </si>
  <si>
    <t>Total Approved but Uninstalled Utility Applications MTD or at Months End</t>
  </si>
  <si>
    <t>QTY Installed</t>
  </si>
  <si>
    <t>Contract Value of Installed Systems</t>
  </si>
  <si>
    <t>&gt;=1/1/23</t>
  </si>
  <si>
    <t>&lt;1/1/24</t>
  </si>
  <si>
    <t>&gt;=1/1/24</t>
  </si>
  <si>
    <t>&lt;2/1/24</t>
  </si>
  <si>
    <t>January</t>
  </si>
  <si>
    <t>&gt;=2/1/24</t>
  </si>
  <si>
    <t>&lt;3/1/24</t>
  </si>
  <si>
    <t>February</t>
  </si>
  <si>
    <t/>
  </si>
  <si>
    <t>&gt;=3/1/24</t>
  </si>
  <si>
    <t>&lt;4/1/24</t>
  </si>
  <si>
    <t>March</t>
  </si>
  <si>
    <t>&gt;=4/1/24</t>
  </si>
  <si>
    <t>&lt;5/1/24</t>
  </si>
  <si>
    <t>April</t>
  </si>
  <si>
    <t>&gt;=5/1/24</t>
  </si>
  <si>
    <t>&lt;6/1/24</t>
  </si>
  <si>
    <t>May</t>
  </si>
  <si>
    <t>&gt;=6/1/24</t>
  </si>
  <si>
    <t>&lt;7/1/24</t>
  </si>
  <si>
    <t>June</t>
  </si>
  <si>
    <t>&gt;=7/1/24</t>
  </si>
  <si>
    <t>&lt;8/1/24</t>
  </si>
  <si>
    <t>July</t>
  </si>
  <si>
    <t>&gt;=8/1/24</t>
  </si>
  <si>
    <t>&lt;9/1/24</t>
  </si>
  <si>
    <t>August</t>
  </si>
  <si>
    <t>&gt;=9/1/24</t>
  </si>
  <si>
    <t>&lt;10/1/24</t>
  </si>
  <si>
    <t>September</t>
  </si>
  <si>
    <t>&gt;=10/1/24</t>
  </si>
  <si>
    <t>&lt;11/1/24</t>
  </si>
  <si>
    <t>October</t>
  </si>
  <si>
    <t>&gt;=11/1/24</t>
  </si>
  <si>
    <t>&lt;12/1/24</t>
  </si>
  <si>
    <t>November</t>
  </si>
  <si>
    <t>&gt;=12/1/24</t>
  </si>
  <si>
    <t>&lt;1/1/25</t>
  </si>
  <si>
    <t>December</t>
  </si>
  <si>
    <t>&gt;=1/1/25</t>
  </si>
  <si>
    <t>&lt;1/1/26</t>
  </si>
  <si>
    <t>Total</t>
  </si>
  <si>
    <t>Total*</t>
  </si>
  <si>
    <t>*Removes 2023 and 2025 data</t>
  </si>
  <si>
    <t>June - September is all resi</t>
  </si>
  <si>
    <t>1000 kW Resi</t>
  </si>
  <si>
    <t>Positive Numbers Indicate we are ahead of schedule in terms of actual bookings</t>
  </si>
  <si>
    <t>Positive Numbers Indicate we are ahead of schedule in terms of actual installations</t>
  </si>
  <si>
    <t>Positive Numbers Indicate we are ahead of schedule in terms of actual installations vs what we planned on doing at contract signing (BD Actuals)</t>
  </si>
  <si>
    <t>$3,500,000 in bookings is the target</t>
  </si>
  <si>
    <t>428 kW Commercial</t>
  </si>
  <si>
    <t>Since booking revenue target is 4.44% greater than installed revenue target, kW booked and QTY booked targets are taken to be 1.0444* Install Goals for 2024</t>
  </si>
  <si>
    <t>108 Jobs Total</t>
  </si>
  <si>
    <t>No plan as to which months the commercial projects will land in</t>
  </si>
  <si>
    <t>Yearly Avg kW target: 13.23kW/system (blend of resi + commercial)</t>
  </si>
  <si>
    <t>Bookings</t>
  </si>
  <si>
    <t>Installs</t>
  </si>
  <si>
    <t># of Months Left</t>
  </si>
  <si>
    <t>Average monthly residential + commercial bookings needed to be in line with Budgeted Goals</t>
  </si>
  <si>
    <t>Average monthly residential + commercial installs needed to be in line with Budgeted Goals</t>
  </si>
  <si>
    <t>RESIDENTIAL</t>
  </si>
  <si>
    <t>Actual Bookings</t>
  </si>
  <si>
    <t>Planned Installs at Contract Signing</t>
  </si>
  <si>
    <t>Actual Installations</t>
  </si>
  <si>
    <t>Median Booking %/month 2021-2023 average</t>
  </si>
  <si>
    <t>Average monthly residential bookings needed to be in line with Budgeted Goals</t>
  </si>
  <si>
    <t>Average monthly residential installs needed to be in line with Budgeted Goals</t>
  </si>
  <si>
    <t>COMMERCIAL</t>
  </si>
  <si>
    <t>2023 % of Bookings Per Month</t>
  </si>
  <si>
    <t>Average monthly commercial bookings needed to be in line with Budgeted Goals</t>
  </si>
  <si>
    <t>DTS Dashboard</t>
  </si>
  <si>
    <t>Item</t>
  </si>
  <si>
    <t>Month to Date Actual vs End of Month Target</t>
  </si>
  <si>
    <t>Year To Date</t>
  </si>
  <si>
    <t>Full MonthTarget</t>
  </si>
  <si>
    <t>Actual</t>
  </si>
  <si>
    <t>Target to Actual QTY</t>
  </si>
  <si>
    <t>Target to Actual %</t>
  </si>
  <si>
    <t>Target for the end of the month</t>
  </si>
  <si>
    <t>kW Install</t>
  </si>
  <si>
    <t>Revenue $ Installed</t>
  </si>
  <si>
    <t>Outstanding Submitted Permits</t>
  </si>
  <si>
    <t>Total Approved Permits for Uninstalled Projects</t>
  </si>
  <si>
    <t>Outstanding Submitted Utility Applications</t>
  </si>
  <si>
    <t>Total Approved Utility Applications for Uninstalled Projects</t>
  </si>
  <si>
    <t>QTY of Projects that have Full Approval to Move Forward Now</t>
  </si>
  <si>
    <t>QTY of Projects that do not have Full Approval to move forward now</t>
  </si>
  <si>
    <t>QTY of Installed projects without PTO</t>
  </si>
  <si>
    <t>Next Project on Calendar without full approval</t>
  </si>
  <si>
    <t>Crabb</t>
  </si>
  <si>
    <t>Days until that project</t>
  </si>
  <si>
    <t>Next Project on Calendar that we haven't submitted everything for</t>
  </si>
  <si>
    <t>Binsfeld</t>
  </si>
  <si>
    <t>Permitted Project Lead Time (weeks)</t>
  </si>
  <si>
    <t>QTY of New Warranty Calls</t>
  </si>
  <si>
    <t>QTY of Warranty Items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</si>
</sst>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&quot;$&quot;#,##0"/>
    <numFmt numFmtId="165" formatCode="0.0"/>
    <numFmt numFmtId="166" formatCode="&quot;$&quot;#,##0.00"/>
    <numFmt numFmtId="167" formatCode="0.0%"/>
    <numFmt numFmtId="168" formatCode="m\-d"/>
    <numFmt numFmtId="169" formatCode="#,##0.0"/>
    <numFmt numFmtId="170" formatCode="m/d/yy"/>
  </numFmts>
  <fonts count="1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sz val="10"/>
      <name val="Arial"/>
    </font>
    <font>
      <b/>
      <i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2"/>
      <color theme="1"/>
      <name val="Arial"/>
      <scheme val="minor"/>
    </font>
    <font>
      <b/>
      <sz val="10"/>
      <color theme="1"/>
      <name val="Arial"/>
    </font>
    <font>
      <sz val="10"/>
      <color rgb="FFD9D9D9"/>
      <name val="Arial"/>
      <scheme val="minor"/>
    </font>
    <font>
      <b/>
      <sz val="15"/>
      <color theme="1"/>
      <name val="Arial"/>
    </font>
    <font>
      <i/>
      <sz val="18"/>
      <color theme="1"/>
      <name val="Arial"/>
    </font>
    <font>
      <b/>
      <sz val="12"/>
      <color theme="1"/>
      <name val="Arial"/>
    </font>
    <font>
      <i/>
      <sz val="10"/>
      <color theme="1"/>
      <name val="Arial"/>
    </font>
    <font>
      <u/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2" borderId="0" xfId="0" applyFont="1" applyFill="1"/>
    <xf numFmtId="0" fontId="1" fillId="0" borderId="7" xfId="0" quotePrefix="1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2" fontId="6" fillId="0" borderId="8" xfId="0" applyNumberFormat="1" applyFont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46" fontId="1" fillId="0" borderId="8" xfId="0" applyNumberFormat="1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7" xfId="0" applyFont="1" applyBorder="1" applyAlignment="1">
      <alignment horizontal="center"/>
    </xf>
    <xf numFmtId="46" fontId="1" fillId="4" borderId="8" xfId="0" applyNumberFormat="1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left"/>
    </xf>
    <xf numFmtId="2" fontId="6" fillId="5" borderId="8" xfId="0" applyNumberFormat="1" applyFont="1" applyFill="1" applyBorder="1" applyAlignment="1">
      <alignment horizontal="left"/>
    </xf>
    <xf numFmtId="46" fontId="1" fillId="5" borderId="8" xfId="0" applyNumberFormat="1" applyFont="1" applyFill="1" applyBorder="1" applyAlignment="1">
      <alignment horizontal="left"/>
    </xf>
    <xf numFmtId="0" fontId="1" fillId="5" borderId="9" xfId="0" applyFont="1" applyFill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2" fontId="6" fillId="0" borderId="11" xfId="0" applyNumberFormat="1" applyFont="1" applyBorder="1" applyAlignment="1">
      <alignment horizontal="left"/>
    </xf>
    <xf numFmtId="46" fontId="1" fillId="0" borderId="11" xfId="0" applyNumberFormat="1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2" fontId="6" fillId="2" borderId="0" xfId="0" applyNumberFormat="1" applyFont="1" applyFill="1" applyAlignment="1">
      <alignment horizontal="left"/>
    </xf>
    <xf numFmtId="46" fontId="1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5" borderId="0" xfId="0" applyFont="1" applyFill="1"/>
    <xf numFmtId="1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wrapText="1"/>
    </xf>
    <xf numFmtId="165" fontId="1" fillId="0" borderId="0" xfId="0" applyNumberFormat="1" applyFont="1"/>
    <xf numFmtId="9" fontId="1" fillId="0" borderId="0" xfId="0" applyNumberFormat="1" applyFont="1"/>
    <xf numFmtId="2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horizontal="right"/>
    </xf>
    <xf numFmtId="167" fontId="1" fillId="0" borderId="0" xfId="0" applyNumberFormat="1" applyFont="1"/>
    <xf numFmtId="10" fontId="1" fillId="0" borderId="0" xfId="0" applyNumberFormat="1" applyFont="1"/>
    <xf numFmtId="0" fontId="5" fillId="0" borderId="0" xfId="0" applyFont="1" applyAlignment="1">
      <alignment horizontal="right"/>
    </xf>
    <xf numFmtId="168" fontId="5" fillId="0" borderId="0" xfId="0" applyNumberFormat="1" applyFont="1"/>
    <xf numFmtId="168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4" fontId="1" fillId="2" borderId="0" xfId="0" applyNumberFormat="1" applyFont="1" applyFill="1"/>
    <xf numFmtId="3" fontId="1" fillId="0" borderId="0" xfId="0" applyNumberFormat="1" applyFont="1"/>
    <xf numFmtId="169" fontId="1" fillId="0" borderId="0" xfId="0" applyNumberFormat="1" applyFont="1"/>
    <xf numFmtId="3" fontId="1" fillId="2" borderId="0" xfId="0" applyNumberFormat="1" applyFont="1" applyFill="1"/>
    <xf numFmtId="169" fontId="1" fillId="2" borderId="0" xfId="0" applyNumberFormat="1" applyFont="1" applyFill="1"/>
    <xf numFmtId="1" fontId="1" fillId="2" borderId="0" xfId="0" applyNumberFormat="1" applyFont="1" applyFill="1"/>
    <xf numFmtId="165" fontId="1" fillId="2" borderId="0" xfId="0" applyNumberFormat="1" applyFont="1" applyFill="1"/>
    <xf numFmtId="0" fontId="6" fillId="0" borderId="0" xfId="0" applyFont="1"/>
    <xf numFmtId="0" fontId="6" fillId="0" borderId="0" xfId="0" applyFont="1" applyAlignment="1">
      <alignment horizontal="right"/>
    </xf>
    <xf numFmtId="10" fontId="6" fillId="0" borderId="0" xfId="0" applyNumberFormat="1" applyFont="1" applyAlignment="1">
      <alignment horizontal="right"/>
    </xf>
    <xf numFmtId="0" fontId="8" fillId="0" borderId="0" xfId="0" applyFont="1"/>
    <xf numFmtId="0" fontId="8" fillId="0" borderId="8" xfId="0" applyFont="1" applyBorder="1"/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wrapText="1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4" xfId="0" applyFont="1" applyBorder="1"/>
    <xf numFmtId="0" fontId="5" fillId="0" borderId="8" xfId="0" applyFont="1" applyBorder="1"/>
    <xf numFmtId="0" fontId="5" fillId="0" borderId="15" xfId="0" applyFont="1" applyBorder="1"/>
    <xf numFmtId="0" fontId="6" fillId="0" borderId="8" xfId="0" applyFont="1" applyBorder="1" applyAlignment="1">
      <alignment horizontal="center"/>
    </xf>
    <xf numFmtId="0" fontId="1" fillId="0" borderId="8" xfId="0" applyFont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0" borderId="15" xfId="0" applyFont="1" applyBorder="1"/>
    <xf numFmtId="165" fontId="1" fillId="0" borderId="8" xfId="0" applyNumberFormat="1" applyFont="1" applyBorder="1"/>
    <xf numFmtId="164" fontId="1" fillId="0" borderId="9" xfId="0" applyNumberFormat="1" applyFont="1" applyBorder="1"/>
    <xf numFmtId="0" fontId="1" fillId="0" borderId="9" xfId="0" applyFont="1" applyBorder="1"/>
    <xf numFmtId="0" fontId="1" fillId="2" borderId="15" xfId="0" applyFont="1" applyFill="1" applyBorder="1"/>
    <xf numFmtId="164" fontId="1" fillId="2" borderId="9" xfId="0" applyNumberFormat="1" applyFont="1" applyFill="1" applyBorder="1"/>
    <xf numFmtId="0" fontId="1" fillId="0" borderId="14" xfId="0" applyFont="1" applyBorder="1"/>
    <xf numFmtId="164" fontId="1" fillId="2" borderId="8" xfId="0" applyNumberFormat="1" applyFont="1" applyFill="1" applyBorder="1"/>
    <xf numFmtId="0" fontId="6" fillId="0" borderId="8" xfId="0" applyFont="1" applyBorder="1"/>
    <xf numFmtId="10" fontId="1" fillId="7" borderId="8" xfId="0" applyNumberFormat="1" applyFont="1" applyFill="1" applyBorder="1"/>
    <xf numFmtId="1" fontId="1" fillId="7" borderId="8" xfId="0" applyNumberFormat="1" applyFont="1" applyFill="1" applyBorder="1"/>
    <xf numFmtId="164" fontId="1" fillId="5" borderId="9" xfId="0" applyNumberFormat="1" applyFont="1" applyFill="1" applyBorder="1"/>
    <xf numFmtId="0" fontId="1" fillId="5" borderId="15" xfId="0" applyFont="1" applyFill="1" applyBorder="1"/>
    <xf numFmtId="0" fontId="1" fillId="7" borderId="8" xfId="0" applyFont="1" applyFill="1" applyBorder="1"/>
    <xf numFmtId="164" fontId="1" fillId="7" borderId="9" xfId="0" applyNumberFormat="1" applyFont="1" applyFill="1" applyBorder="1"/>
    <xf numFmtId="164" fontId="1" fillId="0" borderId="8" xfId="0" applyNumberFormat="1" applyFont="1" applyBorder="1"/>
    <xf numFmtId="1" fontId="1" fillId="0" borderId="8" xfId="0" applyNumberFormat="1" applyFont="1" applyBorder="1"/>
    <xf numFmtId="0" fontId="6" fillId="0" borderId="17" xfId="0" applyFont="1" applyBorder="1"/>
    <xf numFmtId="0" fontId="1" fillId="0" borderId="0" xfId="0" applyFont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18" xfId="0" applyFont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0" borderId="20" xfId="0" applyFont="1" applyBorder="1"/>
    <xf numFmtId="165" fontId="1" fillId="0" borderId="18" xfId="0" applyNumberFormat="1" applyFont="1" applyBorder="1"/>
    <xf numFmtId="164" fontId="1" fillId="0" borderId="19" xfId="0" applyNumberFormat="1" applyFont="1" applyBorder="1"/>
    <xf numFmtId="0" fontId="1" fillId="2" borderId="20" xfId="0" applyFont="1" applyFill="1" applyBorder="1"/>
    <xf numFmtId="164" fontId="1" fillId="2" borderId="19" xfId="0" applyNumberFormat="1" applyFont="1" applyFill="1" applyBorder="1"/>
    <xf numFmtId="0" fontId="1" fillId="0" borderId="21" xfId="0" applyFont="1" applyBorder="1"/>
    <xf numFmtId="164" fontId="1" fillId="2" borderId="18" xfId="0" applyNumberFormat="1" applyFont="1" applyFill="1" applyBorder="1"/>
    <xf numFmtId="0" fontId="1" fillId="0" borderId="22" xfId="0" applyFont="1" applyBorder="1"/>
    <xf numFmtId="167" fontId="1" fillId="0" borderId="22" xfId="0" applyNumberFormat="1" applyFont="1" applyBorder="1"/>
    <xf numFmtId="1" fontId="1" fillId="7" borderId="22" xfId="0" applyNumberFormat="1" applyFont="1" applyFill="1" applyBorder="1"/>
    <xf numFmtId="164" fontId="1" fillId="5" borderId="23" xfId="0" applyNumberFormat="1" applyFont="1" applyFill="1" applyBorder="1"/>
    <xf numFmtId="0" fontId="1" fillId="0" borderId="24" xfId="0" applyFont="1" applyBorder="1"/>
    <xf numFmtId="165" fontId="1" fillId="0" borderId="22" xfId="0" applyNumberFormat="1" applyFont="1" applyBorder="1"/>
    <xf numFmtId="0" fontId="1" fillId="0" borderId="25" xfId="0" applyFont="1" applyBorder="1"/>
    <xf numFmtId="0" fontId="1" fillId="5" borderId="24" xfId="0" applyFont="1" applyFill="1" applyBorder="1"/>
    <xf numFmtId="1" fontId="1" fillId="5" borderId="22" xfId="0" applyNumberFormat="1" applyFont="1" applyFill="1" applyBorder="1"/>
    <xf numFmtId="164" fontId="1" fillId="5" borderId="25" xfId="0" applyNumberFormat="1" applyFont="1" applyFill="1" applyBorder="1"/>
    <xf numFmtId="0" fontId="1" fillId="0" borderId="26" xfId="0" applyFont="1" applyBorder="1"/>
    <xf numFmtId="1" fontId="1" fillId="0" borderId="22" xfId="0" applyNumberFormat="1" applyFont="1" applyBorder="1"/>
    <xf numFmtId="164" fontId="1" fillId="0" borderId="22" xfId="0" applyNumberFormat="1" applyFont="1" applyBorder="1"/>
    <xf numFmtId="167" fontId="1" fillId="0" borderId="8" xfId="0" applyNumberFormat="1" applyFont="1" applyBorder="1"/>
    <xf numFmtId="2" fontId="1" fillId="0" borderId="8" xfId="0" applyNumberFormat="1" applyFont="1" applyBorder="1"/>
    <xf numFmtId="2" fontId="1" fillId="0" borderId="18" xfId="0" applyNumberFormat="1" applyFont="1" applyBorder="1"/>
    <xf numFmtId="0" fontId="1" fillId="0" borderId="28" xfId="0" applyFont="1" applyBorder="1"/>
    <xf numFmtId="0" fontId="1" fillId="0" borderId="28" xfId="0" applyFont="1" applyBorder="1" applyAlignment="1">
      <alignment horizontal="center" wrapText="1"/>
    </xf>
    <xf numFmtId="0" fontId="5" fillId="0" borderId="7" xfId="0" applyFont="1" applyBorder="1" applyAlignment="1">
      <alignment horizontal="center" vertical="center"/>
    </xf>
    <xf numFmtId="0" fontId="1" fillId="0" borderId="7" xfId="0" applyFont="1" applyBorder="1"/>
    <xf numFmtId="0" fontId="0" fillId="6" borderId="24" xfId="0" applyFill="1" applyBorder="1"/>
    <xf numFmtId="10" fontId="1" fillId="0" borderId="8" xfId="0" applyNumberFormat="1" applyFont="1" applyBorder="1"/>
    <xf numFmtId="165" fontId="1" fillId="7" borderId="8" xfId="0" applyNumberFormat="1" applyFont="1" applyFill="1" applyBorder="1"/>
    <xf numFmtId="0" fontId="1" fillId="7" borderId="15" xfId="0" applyFont="1" applyFill="1" applyBorder="1"/>
    <xf numFmtId="0" fontId="1" fillId="0" borderId="31" xfId="0" applyFont="1" applyBorder="1"/>
    <xf numFmtId="0" fontId="0" fillId="2" borderId="32" xfId="0" applyFill="1" applyBorder="1"/>
    <xf numFmtId="0" fontId="9" fillId="2" borderId="18" xfId="0" applyFont="1" applyFill="1" applyBorder="1"/>
    <xf numFmtId="0" fontId="1" fillId="0" borderId="33" xfId="0" applyFont="1" applyBorder="1"/>
    <xf numFmtId="164" fontId="1" fillId="0" borderId="25" xfId="0" applyNumberFormat="1" applyFont="1" applyBorder="1"/>
    <xf numFmtId="0" fontId="1" fillId="4" borderId="24" xfId="0" applyFont="1" applyFill="1" applyBorder="1"/>
    <xf numFmtId="0" fontId="1" fillId="5" borderId="22" xfId="0" applyFont="1" applyFill="1" applyBorder="1"/>
    <xf numFmtId="164" fontId="1" fillId="7" borderId="25" xfId="0" applyNumberFormat="1" applyFont="1" applyFill="1" applyBorder="1"/>
    <xf numFmtId="1" fontId="1" fillId="0" borderId="18" xfId="0" applyNumberFormat="1" applyFont="1" applyBorder="1"/>
    <xf numFmtId="0" fontId="1" fillId="0" borderId="34" xfId="0" applyFont="1" applyBorder="1"/>
    <xf numFmtId="0" fontId="1" fillId="4" borderId="8" xfId="0" applyFont="1" applyFill="1" applyBorder="1"/>
    <xf numFmtId="0" fontId="1" fillId="4" borderId="15" xfId="0" applyFont="1" applyFill="1" applyBorder="1"/>
    <xf numFmtId="0" fontId="0" fillId="6" borderId="32" xfId="0" applyFill="1" applyBorder="1"/>
    <xf numFmtId="164" fontId="1" fillId="0" borderId="18" xfId="0" applyNumberFormat="1" applyFont="1" applyBorder="1"/>
    <xf numFmtId="0" fontId="1" fillId="3" borderId="0" xfId="0" applyFont="1" applyFill="1"/>
    <xf numFmtId="0" fontId="13" fillId="0" borderId="27" xfId="0" applyFont="1" applyBorder="1" applyAlignment="1">
      <alignment horizontal="center" wrapText="1"/>
    </xf>
    <xf numFmtId="0" fontId="13" fillId="0" borderId="26" xfId="0" applyFont="1" applyBorder="1" applyAlignment="1">
      <alignment horizontal="center"/>
    </xf>
    <xf numFmtId="0" fontId="13" fillId="0" borderId="26" xfId="0" applyFont="1" applyBorder="1" applyAlignment="1">
      <alignment horizontal="center" wrapText="1"/>
    </xf>
    <xf numFmtId="0" fontId="13" fillId="0" borderId="24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6" fillId="0" borderId="43" xfId="0" applyFont="1" applyBorder="1"/>
    <xf numFmtId="167" fontId="6" fillId="0" borderId="44" xfId="0" applyNumberFormat="1" applyFont="1" applyBorder="1"/>
    <xf numFmtId="167" fontId="6" fillId="0" borderId="45" xfId="0" applyNumberFormat="1" applyFont="1" applyBorder="1"/>
    <xf numFmtId="165" fontId="6" fillId="0" borderId="0" xfId="0" applyNumberFormat="1" applyFont="1"/>
    <xf numFmtId="0" fontId="6" fillId="0" borderId="33" xfId="0" applyFont="1" applyBorder="1"/>
    <xf numFmtId="164" fontId="6" fillId="0" borderId="26" xfId="0" applyNumberFormat="1" applyFont="1" applyBorder="1"/>
    <xf numFmtId="0" fontId="6" fillId="0" borderId="26" xfId="0" applyFont="1" applyBorder="1"/>
    <xf numFmtId="167" fontId="6" fillId="0" borderId="24" xfId="0" applyNumberFormat="1" applyFont="1" applyBorder="1"/>
    <xf numFmtId="167" fontId="6" fillId="0" borderId="30" xfId="0" applyNumberFormat="1" applyFont="1" applyBorder="1"/>
    <xf numFmtId="0" fontId="6" fillId="2" borderId="0" xfId="0" applyFont="1" applyFill="1"/>
    <xf numFmtId="0" fontId="6" fillId="2" borderId="44" xfId="0" applyFont="1" applyFill="1" applyBorder="1"/>
    <xf numFmtId="0" fontId="6" fillId="2" borderId="45" xfId="0" applyFont="1" applyFill="1" applyBorder="1"/>
    <xf numFmtId="0" fontId="6" fillId="2" borderId="26" xfId="0" applyFont="1" applyFill="1" applyBorder="1"/>
    <xf numFmtId="0" fontId="6" fillId="2" borderId="24" xfId="0" applyFont="1" applyFill="1" applyBorder="1"/>
    <xf numFmtId="0" fontId="6" fillId="2" borderId="30" xfId="0" applyFont="1" applyFill="1" applyBorder="1"/>
    <xf numFmtId="3" fontId="6" fillId="0" borderId="0" xfId="0" applyNumberFormat="1" applyFont="1"/>
    <xf numFmtId="170" fontId="1" fillId="3" borderId="0" xfId="0" applyNumberFormat="1" applyFont="1" applyFill="1"/>
    <xf numFmtId="0" fontId="14" fillId="3" borderId="0" xfId="0" applyFont="1" applyFill="1"/>
    <xf numFmtId="165" fontId="6" fillId="0" borderId="26" xfId="0" applyNumberFormat="1" applyFont="1" applyBorder="1"/>
    <xf numFmtId="0" fontId="6" fillId="0" borderId="46" xfId="0" applyFont="1" applyBorder="1"/>
    <xf numFmtId="0" fontId="6" fillId="2" borderId="47" xfId="0" applyFont="1" applyFill="1" applyBorder="1"/>
    <xf numFmtId="0" fontId="6" fillId="2" borderId="48" xfId="0" applyFont="1" applyFill="1" applyBorder="1"/>
    <xf numFmtId="0" fontId="6" fillId="0" borderId="47" xfId="0" applyFont="1" applyBorder="1"/>
    <xf numFmtId="0" fontId="6" fillId="2" borderId="49" xfId="0" applyFont="1" applyFill="1" applyBorder="1"/>
    <xf numFmtId="0" fontId="0" fillId="0" borderId="0" xfId="0"/>
    <xf numFmtId="0" fontId="1" fillId="6" borderId="0" xfId="0" applyFont="1" applyFill="1"/>
    <xf numFmtId="0" fontId="1" fillId="8" borderId="0" xfId="0" applyFont="1" applyFill="1"/>
    <xf numFmtId="0" fontId="1" fillId="8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left"/>
    </xf>
    <xf numFmtId="2" fontId="6" fillId="8" borderId="8" xfId="0" applyNumberFormat="1" applyFont="1" applyFill="1" applyBorder="1" applyAlignment="1">
      <alignment horizontal="left"/>
    </xf>
    <xf numFmtId="46" fontId="1" fillId="8" borderId="8" xfId="0" applyNumberFormat="1" applyFont="1" applyFill="1" applyBorder="1" applyAlignment="1">
      <alignment horizontal="left"/>
    </xf>
    <xf numFmtId="0" fontId="1" fillId="8" borderId="9" xfId="0" applyFont="1" applyFill="1" applyBorder="1" applyAlignment="1">
      <alignment horizontal="left"/>
    </xf>
    <xf numFmtId="0" fontId="1" fillId="8" borderId="0" xfId="0" applyFont="1" applyFill="1" applyAlignment="1">
      <alignment horizontal="left"/>
    </xf>
    <xf numFmtId="0" fontId="0" fillId="8" borderId="0" xfId="0" applyFill="1"/>
    <xf numFmtId="0" fontId="7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3" fillId="0" borderId="4" xfId="0" applyFont="1" applyBorder="1" applyAlignment="1"/>
    <xf numFmtId="0" fontId="3" fillId="0" borderId="5" xfId="0" applyFont="1" applyBorder="1" applyAlignment="1"/>
    <xf numFmtId="0" fontId="7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5" fillId="0" borderId="26" xfId="0" applyFont="1" applyBorder="1" applyAlignment="1">
      <alignment horizontal="center"/>
    </xf>
    <xf numFmtId="0" fontId="3" fillId="0" borderId="26" xfId="0" applyFont="1" applyBorder="1" applyAlignment="1"/>
    <xf numFmtId="0" fontId="3" fillId="0" borderId="30" xfId="0" applyFont="1" applyBorder="1" applyAlignment="1"/>
    <xf numFmtId="0" fontId="1" fillId="0" borderId="27" xfId="0" applyFont="1" applyBorder="1" applyAlignment="1">
      <alignment horizontal="center"/>
    </xf>
    <xf numFmtId="0" fontId="3" fillId="0" borderId="24" xfId="0" applyFont="1" applyBorder="1" applyAlignment="1"/>
    <xf numFmtId="0" fontId="1" fillId="0" borderId="13" xfId="0" applyFont="1" applyBorder="1" applyAlignment="1">
      <alignment horizontal="center"/>
    </xf>
    <xf numFmtId="0" fontId="3" fillId="0" borderId="14" xfId="0" applyFont="1" applyBorder="1" applyAlignment="1"/>
    <xf numFmtId="0" fontId="3" fillId="0" borderId="15" xfId="0" applyFont="1" applyBorder="1" applyAlignment="1"/>
    <xf numFmtId="0" fontId="1" fillId="0" borderId="2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/>
    </xf>
    <xf numFmtId="0" fontId="5" fillId="0" borderId="27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3" fillId="0" borderId="16" xfId="0" applyFont="1" applyBorder="1" applyAlignment="1"/>
    <xf numFmtId="0" fontId="5" fillId="0" borderId="29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3" fillId="0" borderId="36" xfId="0" applyFont="1" applyBorder="1" applyAlignment="1"/>
    <xf numFmtId="0" fontId="3" fillId="0" borderId="37" xfId="0" applyFont="1" applyBorder="1" applyAlignment="1"/>
    <xf numFmtId="0" fontId="11" fillId="0" borderId="38" xfId="0" applyFont="1" applyBorder="1" applyAlignment="1">
      <alignment horizontal="center" vertical="center"/>
    </xf>
    <xf numFmtId="0" fontId="3" fillId="0" borderId="33" xfId="0" applyFont="1" applyBorder="1" applyAlignment="1"/>
    <xf numFmtId="0" fontId="12" fillId="0" borderId="39" xfId="0" applyFont="1" applyBorder="1" applyAlignment="1">
      <alignment horizontal="center"/>
    </xf>
    <xf numFmtId="0" fontId="3" fillId="0" borderId="40" xfId="0" applyFont="1" applyBorder="1" applyAlignment="1"/>
    <xf numFmtId="0" fontId="3" fillId="0" borderId="41" xfId="0" applyFont="1" applyBorder="1" applyAlignment="1"/>
    <xf numFmtId="0" fontId="3" fillId="0" borderId="42" xfId="0" applyFont="1" applyBorder="1" applyAlignment="1"/>
  </cellXfs>
  <cellStyles count="1">
    <cellStyle name="Normal" xfId="0" builtinId="0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UVA Data-style" pivot="0" count="2" xr9:uid="{00000000-0011-0000-FFFF-FFFF00000000}">
      <tableStyleElement type="firstRowStripe" dxfId="3"/>
      <tableStyleElement type="secondRowStripe" dxfId="2"/>
    </tableStyle>
    <tableStyle name="DTS Dashboard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E687E8-A32B-4E33-8366-7428F431471C}" name="Table_14" displayName="Table_14" ref="B4:AM283" headerRowCount="0">
  <tableColumns count="38">
    <tableColumn id="1" xr3:uid="{2B9585D7-0B80-492A-BE3F-E60E5926DDD3}" name="Column1"/>
    <tableColumn id="2" xr3:uid="{9BA9F37A-BFB5-4EBA-9A02-DF7CD74F3080}" name="Column2"/>
    <tableColumn id="3" xr3:uid="{331CB597-46AF-4661-A0BD-9FB93FA866FB}" name="Column3"/>
    <tableColumn id="4" xr3:uid="{A10D2FD6-DBBD-4719-8E8A-E9ED2DB95D8F}" name="Column4"/>
    <tableColumn id="5" xr3:uid="{26F4CAE9-1186-4AF4-AF73-A3FA1D4E5B30}" name="Column5"/>
    <tableColumn id="6" xr3:uid="{E3CAFBF1-56AA-4C85-AAB5-5CF4549BF23B}" name="Column6"/>
    <tableColumn id="7" xr3:uid="{FBB2BE33-64E4-47F1-9FDB-49512B39F891}" name="Column7"/>
    <tableColumn id="8" xr3:uid="{88157FDC-300D-41CF-B5BE-FA87582C1299}" name="Column8"/>
    <tableColumn id="9" xr3:uid="{9A3234E5-8B3A-45E1-BE6E-C82B9172DD58}" name="Column9"/>
    <tableColumn id="10" xr3:uid="{B621C7F1-1096-46B0-B917-6A696ADD6980}" name="Column10"/>
    <tableColumn id="11" xr3:uid="{12CE4C91-5FB3-4BAD-8E28-06198915A4DB}" name="Column11"/>
    <tableColumn id="12" xr3:uid="{ECD9BE95-C404-40F1-97D4-C82A504CF9F9}" name="Column12"/>
    <tableColumn id="13" xr3:uid="{42A6D0C9-621E-4158-B2B1-86F75A255882}" name="Column13"/>
    <tableColumn id="14" xr3:uid="{E0E7969C-95D2-492A-AD2A-C679B820689A}" name="Column14"/>
    <tableColumn id="15" xr3:uid="{2F3FD5B6-055F-4C49-8494-5E9A8D2704F5}" name="Column15"/>
    <tableColumn id="16" xr3:uid="{5466093B-F3AF-48C5-A075-3D0B228046B6}" name="Column16"/>
    <tableColumn id="17" xr3:uid="{9CF68F78-2A19-4268-A179-BD0C6A4EF0A0}" name="Column17"/>
    <tableColumn id="18" xr3:uid="{FC36DA0D-0B14-468D-8C5F-4641D346623E}" name="Column18"/>
    <tableColumn id="20" xr3:uid="{A39165DB-FB1B-4017-87E1-2F8014ED077E}" name="Column20"/>
    <tableColumn id="21" xr3:uid="{7EF4CCFC-3B46-414B-BAB0-9E330C0B026A}" name="Column21"/>
    <tableColumn id="22" xr3:uid="{F8565C47-28F8-4836-97D4-ED0AE20D2C76}" name="Column22"/>
    <tableColumn id="23" xr3:uid="{9F89D6E8-C505-427C-9975-76E9C10B1935}" name="Column23"/>
    <tableColumn id="24" xr3:uid="{4E455BB3-1741-4E1B-84FD-5B1A539477B7}" name="Column24"/>
    <tableColumn id="25" xr3:uid="{3CA284D8-5DE5-4475-B4BA-AD7E758F6D50}" name="Column25"/>
    <tableColumn id="26" xr3:uid="{7FC0201E-9B34-4B9B-8765-D8F6954BDF80}" name="Column26"/>
    <tableColumn id="27" xr3:uid="{AB99951A-9039-4947-910E-783A2866E3D7}" name="Column27"/>
    <tableColumn id="28" xr3:uid="{280F0D25-9C07-4594-B037-A9A105EFAB4B}" name="Column28"/>
    <tableColumn id="29" xr3:uid="{AC86B190-3EDC-4399-A4B8-4A2763E263EA}" name="Column29"/>
    <tableColumn id="30" xr3:uid="{F638DE11-A284-41CE-8A02-9EADC2BBD2C6}" name="Column30"/>
    <tableColumn id="31" xr3:uid="{65324818-3AA6-4154-B157-BCA0E163C229}" name="Column31"/>
    <tableColumn id="39" xr3:uid="{2DB0F64A-8DEC-4B77-8667-6ABE58204136}" name="Column39"/>
    <tableColumn id="32" xr3:uid="{2F14BBF1-45E9-43A4-8DF8-0D69C55FEEF0}" name="Column32"/>
    <tableColumn id="33" xr3:uid="{4D213C6A-020A-44D4-9672-2DE1942D5B68}" name="Column33"/>
    <tableColumn id="34" xr3:uid="{0F244CC0-1159-46A1-8DB1-438C5CEE5F60}" name="Column34"/>
    <tableColumn id="35" xr3:uid="{73A4B804-1EEA-4177-A784-BC493A97C3ED}" name="Column35"/>
    <tableColumn id="36" xr3:uid="{CAA04AC2-956E-4D29-B32E-8651D36C2598}" name="Column36"/>
    <tableColumn id="37" xr3:uid="{57759637-95CD-422C-8255-C5C4DA968290}" name="Column37"/>
    <tableColumn id="38" xr3:uid="{17DC8CE2-6625-4402-9071-DAC693614716}" name="Column38"/>
  </tableColumns>
  <tableStyleInfo name="UVA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5:J27" headerRowCount="0">
  <tableColumns count="9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</tableColumns>
  <tableStyleInfo name="DTS Dashboar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5A4C-99F8-4AF1-BBE3-A06548B2BB23}">
  <sheetPr>
    <outlinePr summaryBelow="0" summaryRight="0"/>
  </sheetPr>
  <dimension ref="A1:AM283"/>
  <sheetViews>
    <sheetView showGridLines="0" tabSelected="1" workbookViewId="0">
      <pane xSplit="2" ySplit="3" topLeftCell="C4" activePane="bottomRight" state="frozen"/>
      <selection pane="bottomRight" activeCell="G3" sqref="G3:H11"/>
      <selection pane="bottomLeft" activeCell="A4" sqref="A4"/>
      <selection pane="topRight" activeCell="C1" sqref="C1"/>
    </sheetView>
  </sheetViews>
  <sheetFormatPr defaultColWidth="12.5703125" defaultRowHeight="15.75" customHeight="1" outlineLevelCol="1"/>
  <cols>
    <col min="1" max="1" width="4" style="177" customWidth="1"/>
    <col min="2" max="2" width="13.7109375" style="177" customWidth="1"/>
    <col min="3" max="3" width="7.140625" style="177" customWidth="1" outlineLevel="1"/>
    <col min="4" max="4" width="6.140625" style="177" customWidth="1" outlineLevel="1"/>
    <col min="5" max="5" width="8.42578125" style="177" customWidth="1" outlineLevel="1"/>
    <col min="6" max="6" width="5.85546875" style="177" customWidth="1" outlineLevel="1"/>
    <col min="7" max="7" width="9.42578125" style="177" customWidth="1" outlineLevel="1"/>
    <col min="8" max="8" width="12.140625" style="177" customWidth="1" outlineLevel="1"/>
    <col min="9" max="9" width="14.28515625" style="177" customWidth="1" outlineLevel="1"/>
    <col min="10" max="10" width="7.7109375" style="177" customWidth="1" outlineLevel="1"/>
    <col min="11" max="11" width="10.140625" style="177" customWidth="1" outlineLevel="1"/>
    <col min="12" max="12" width="8" style="177" customWidth="1" outlineLevel="1"/>
    <col min="13" max="13" width="9.28515625" style="177" customWidth="1" outlineLevel="1"/>
    <col min="14" max="14" width="9.5703125" style="177" customWidth="1" outlineLevel="1"/>
    <col min="15" max="15" width="8" style="177" customWidth="1" outlineLevel="1"/>
    <col min="16" max="20" width="7.5703125" style="177" customWidth="1" outlineLevel="1"/>
    <col min="21" max="21" width="17.42578125" style="177" customWidth="1" outlineLevel="1"/>
    <col min="22" max="22" width="15.140625" style="177" customWidth="1" outlineLevel="1"/>
    <col min="23" max="23" width="11.140625" style="177" customWidth="1" outlineLevel="1"/>
    <col min="24" max="24" width="7.5703125" style="177" customWidth="1" outlineLevel="1"/>
    <col min="25" max="25" width="11.7109375" style="177" customWidth="1" outlineLevel="1"/>
    <col min="26" max="26" width="13.7109375" style="177" customWidth="1" outlineLevel="1"/>
    <col min="27" max="33" width="10.85546875" style="177" customWidth="1" outlineLevel="1"/>
    <col min="34" max="34" width="52.42578125" style="177" customWidth="1"/>
    <col min="35" max="35" width="34.42578125" style="177" customWidth="1"/>
    <col min="36" max="39" width="2.7109375" style="177" customWidth="1"/>
    <col min="40" max="16384" width="12.5703125" style="177"/>
  </cols>
  <sheetData>
    <row r="1" spans="1:39" ht="12.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ht="18">
      <c r="A2" s="3"/>
      <c r="B2" s="4"/>
      <c r="C2" s="5"/>
      <c r="D2" s="191"/>
      <c r="E2" s="192"/>
      <c r="F2" s="191"/>
      <c r="G2" s="193"/>
      <c r="H2" s="192"/>
      <c r="I2" s="191"/>
      <c r="J2" s="193"/>
      <c r="K2" s="193"/>
      <c r="L2" s="193"/>
      <c r="M2" s="193"/>
      <c r="N2" s="193"/>
      <c r="O2" s="192"/>
      <c r="P2" s="191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2"/>
      <c r="AC2" s="5"/>
      <c r="AD2" s="5"/>
      <c r="AE2" s="5"/>
      <c r="AF2" s="5"/>
      <c r="AG2" s="5"/>
      <c r="AH2" s="6"/>
      <c r="AI2" s="7"/>
      <c r="AJ2" s="7"/>
      <c r="AK2" s="7"/>
      <c r="AL2" s="7"/>
      <c r="AM2" s="7"/>
    </row>
    <row r="3" spans="1:39" ht="81">
      <c r="A3" s="2"/>
      <c r="B3" s="8" t="s">
        <v>0</v>
      </c>
      <c r="C3" s="9" t="s">
        <v>1</v>
      </c>
      <c r="D3" s="10" t="s">
        <v>2</v>
      </c>
      <c r="E3" s="10" t="s">
        <v>3</v>
      </c>
      <c r="F3" s="9" t="s">
        <v>4</v>
      </c>
      <c r="G3" s="9" t="s">
        <v>5</v>
      </c>
      <c r="H3" s="9" t="s">
        <v>6</v>
      </c>
      <c r="I3" s="10" t="s">
        <v>7</v>
      </c>
      <c r="J3" s="9" t="s">
        <v>8</v>
      </c>
      <c r="K3" s="9" t="s">
        <v>9</v>
      </c>
      <c r="L3" s="9" t="s">
        <v>10</v>
      </c>
      <c r="M3" s="10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29</v>
      </c>
      <c r="AF3" s="9"/>
      <c r="AG3" s="9" t="s">
        <v>30</v>
      </c>
      <c r="AH3" s="11" t="s">
        <v>31</v>
      </c>
      <c r="AI3" s="12"/>
      <c r="AJ3" s="12"/>
      <c r="AK3" s="12"/>
      <c r="AL3" s="12"/>
      <c r="AM3" s="12"/>
    </row>
    <row r="4" spans="1:39" ht="15.75" customHeight="1">
      <c r="A4" s="2"/>
      <c r="B4" s="13" t="s">
        <v>32</v>
      </c>
      <c r="C4" s="14" t="s">
        <v>33</v>
      </c>
      <c r="D4" s="14" t="s">
        <v>34</v>
      </c>
      <c r="E4" s="14" t="s">
        <v>35</v>
      </c>
      <c r="F4" s="14">
        <v>19</v>
      </c>
      <c r="G4" s="15">
        <v>6.84</v>
      </c>
      <c r="H4" s="14" t="s">
        <v>36</v>
      </c>
      <c r="I4" s="14" t="s">
        <v>37</v>
      </c>
      <c r="J4" s="14" t="s">
        <v>38</v>
      </c>
      <c r="K4" s="16"/>
      <c r="L4" s="14" t="s">
        <v>39</v>
      </c>
      <c r="M4" s="14" t="s">
        <v>40</v>
      </c>
      <c r="N4" s="14" t="s">
        <v>40</v>
      </c>
      <c r="O4" s="14" t="s">
        <v>41</v>
      </c>
      <c r="P4" s="14">
        <v>67.8</v>
      </c>
      <c r="Q4" s="14">
        <v>40</v>
      </c>
      <c r="R4" s="14">
        <v>43</v>
      </c>
      <c r="S4" s="14">
        <v>1</v>
      </c>
      <c r="T4" s="14">
        <v>0</v>
      </c>
      <c r="U4" s="14" t="s">
        <v>42</v>
      </c>
      <c r="V4" s="14" t="s">
        <v>43</v>
      </c>
      <c r="W4" s="14" t="s">
        <v>44</v>
      </c>
      <c r="X4" s="14">
        <v>2</v>
      </c>
      <c r="Y4" s="14" t="s">
        <v>45</v>
      </c>
      <c r="Z4" s="17">
        <v>0.79166666666666663</v>
      </c>
      <c r="AA4" s="14">
        <v>1</v>
      </c>
      <c r="AB4" s="14">
        <v>2</v>
      </c>
      <c r="AC4" s="14">
        <v>2</v>
      </c>
      <c r="AD4" s="17">
        <f>IFERROR(Z4/(AA4*AB4)*AC4*AA4,"")</f>
        <v>0.79166666666666663</v>
      </c>
      <c r="AE4" s="17">
        <f>Z4+AD4</f>
        <v>1.5833333333333333</v>
      </c>
      <c r="AF4" s="17"/>
      <c r="AG4" s="14">
        <f>AB4+AC4</f>
        <v>4</v>
      </c>
      <c r="AH4" s="18"/>
      <c r="AI4" s="19"/>
      <c r="AJ4" s="19"/>
      <c r="AK4" s="19"/>
      <c r="AL4" s="19"/>
      <c r="AM4" s="19"/>
    </row>
    <row r="5" spans="1:39" ht="15.75" customHeight="1">
      <c r="A5" s="2"/>
      <c r="B5" s="13" t="s">
        <v>46</v>
      </c>
      <c r="C5" s="14" t="s">
        <v>47</v>
      </c>
      <c r="D5" s="14" t="s">
        <v>48</v>
      </c>
      <c r="E5" s="14" t="s">
        <v>49</v>
      </c>
      <c r="F5" s="14">
        <v>18</v>
      </c>
      <c r="G5" s="15">
        <v>6.57</v>
      </c>
      <c r="H5" s="14" t="s">
        <v>36</v>
      </c>
      <c r="I5" s="14" t="s">
        <v>37</v>
      </c>
      <c r="J5" s="14" t="s">
        <v>38</v>
      </c>
      <c r="K5" s="16"/>
      <c r="L5" s="14" t="s">
        <v>50</v>
      </c>
      <c r="M5" s="14" t="s">
        <v>38</v>
      </c>
      <c r="N5" s="14" t="s">
        <v>38</v>
      </c>
      <c r="O5" s="14" t="s">
        <v>41</v>
      </c>
      <c r="P5" s="14">
        <v>67.8</v>
      </c>
      <c r="Q5" s="14">
        <v>40</v>
      </c>
      <c r="R5" s="14">
        <v>43</v>
      </c>
      <c r="S5" s="14">
        <v>1</v>
      </c>
      <c r="T5" s="14">
        <v>2</v>
      </c>
      <c r="U5" s="14" t="s">
        <v>42</v>
      </c>
      <c r="V5" s="14" t="s">
        <v>43</v>
      </c>
      <c r="W5" s="14" t="s">
        <v>44</v>
      </c>
      <c r="X5" s="14">
        <v>1</v>
      </c>
      <c r="Y5" s="14" t="s">
        <v>45</v>
      </c>
      <c r="Z5" s="17">
        <v>1.3958333333333333</v>
      </c>
      <c r="AA5" s="14">
        <v>2</v>
      </c>
      <c r="AB5" s="14">
        <v>2</v>
      </c>
      <c r="AC5" s="14">
        <v>2</v>
      </c>
      <c r="AD5" s="17">
        <f>IFERROR(Z5/(AA5*AB5)*AC5*AA5,"")</f>
        <v>1.3958333333333333</v>
      </c>
      <c r="AE5" s="17">
        <f>Z5+AD5</f>
        <v>2.7916666666666665</v>
      </c>
      <c r="AF5" s="17"/>
      <c r="AG5" s="14">
        <f>AB5+AC5</f>
        <v>4</v>
      </c>
      <c r="AH5" s="18"/>
      <c r="AI5" s="19"/>
      <c r="AJ5" s="19"/>
      <c r="AK5" s="19"/>
      <c r="AL5" s="19"/>
      <c r="AM5" s="19"/>
    </row>
    <row r="6" spans="1:39" ht="15.75" customHeight="1">
      <c r="A6" s="2"/>
      <c r="B6" s="20" t="s">
        <v>51</v>
      </c>
      <c r="C6" s="14" t="s">
        <v>33</v>
      </c>
      <c r="D6" s="14" t="s">
        <v>52</v>
      </c>
      <c r="E6" s="14" t="s">
        <v>35</v>
      </c>
      <c r="F6" s="14">
        <v>16</v>
      </c>
      <c r="G6" s="15">
        <v>5.12</v>
      </c>
      <c r="H6" s="14" t="s">
        <v>36</v>
      </c>
      <c r="I6" s="14" t="s">
        <v>37</v>
      </c>
      <c r="J6" s="14" t="s">
        <v>40</v>
      </c>
      <c r="K6" s="16"/>
      <c r="L6" s="14" t="s">
        <v>39</v>
      </c>
      <c r="M6" s="14" t="s">
        <v>40</v>
      </c>
      <c r="N6" s="14" t="s">
        <v>40</v>
      </c>
      <c r="O6" s="14" t="s">
        <v>53</v>
      </c>
      <c r="P6" s="14">
        <v>66.3</v>
      </c>
      <c r="Q6" s="14">
        <v>39.4</v>
      </c>
      <c r="R6" s="14">
        <v>41.2</v>
      </c>
      <c r="S6" s="14">
        <v>2</v>
      </c>
      <c r="T6" s="14">
        <v>0</v>
      </c>
      <c r="U6" s="14" t="s">
        <v>42</v>
      </c>
      <c r="V6" s="14" t="s">
        <v>43</v>
      </c>
      <c r="W6" s="14" t="s">
        <v>44</v>
      </c>
      <c r="X6" s="14">
        <v>1</v>
      </c>
      <c r="Y6" s="14" t="s">
        <v>45</v>
      </c>
      <c r="Z6" s="17">
        <v>1.0555555555555556</v>
      </c>
      <c r="AA6" s="14">
        <v>2</v>
      </c>
      <c r="AB6" s="14">
        <v>2</v>
      </c>
      <c r="AC6" s="14">
        <v>2</v>
      </c>
      <c r="AD6" s="17">
        <f>IFERROR(Z6/(AA6*AB6)*AC6*AA6,"")</f>
        <v>1.0555555555555556</v>
      </c>
      <c r="AE6" s="17">
        <f>Z6+AD6</f>
        <v>2.1111111111111112</v>
      </c>
      <c r="AF6" s="17"/>
      <c r="AG6" s="14">
        <f>AB6+AC6</f>
        <v>4</v>
      </c>
      <c r="AH6" s="18"/>
      <c r="AI6" s="19"/>
      <c r="AJ6" s="19"/>
      <c r="AK6" s="19"/>
      <c r="AL6" s="19"/>
      <c r="AM6" s="19"/>
    </row>
    <row r="7" spans="1:39" ht="15.75" customHeight="1">
      <c r="A7" s="2"/>
      <c r="B7" s="20" t="s">
        <v>54</v>
      </c>
      <c r="C7" s="14" t="s">
        <v>55</v>
      </c>
      <c r="D7" s="14" t="s">
        <v>56</v>
      </c>
      <c r="E7" s="14" t="s">
        <v>57</v>
      </c>
      <c r="F7" s="14">
        <v>27</v>
      </c>
      <c r="G7" s="15">
        <v>10.8</v>
      </c>
      <c r="H7" s="14" t="s">
        <v>58</v>
      </c>
      <c r="I7" s="14" t="s">
        <v>37</v>
      </c>
      <c r="J7" s="14" t="s">
        <v>40</v>
      </c>
      <c r="K7" s="16"/>
      <c r="L7" s="14" t="s">
        <v>39</v>
      </c>
      <c r="M7" s="14" t="s">
        <v>40</v>
      </c>
      <c r="N7" s="14" t="s">
        <v>40</v>
      </c>
      <c r="O7" s="14" t="s">
        <v>59</v>
      </c>
      <c r="P7" s="14">
        <v>79.3</v>
      </c>
      <c r="Q7" s="14">
        <v>39.4</v>
      </c>
      <c r="R7" s="14">
        <v>51.8</v>
      </c>
      <c r="S7" s="14">
        <v>1</v>
      </c>
      <c r="T7" s="14">
        <v>0</v>
      </c>
      <c r="U7" s="14" t="s">
        <v>42</v>
      </c>
      <c r="V7" s="14" t="s">
        <v>43</v>
      </c>
      <c r="W7" s="14" t="s">
        <v>44</v>
      </c>
      <c r="X7" s="14">
        <v>1</v>
      </c>
      <c r="Y7" s="14" t="s">
        <v>45</v>
      </c>
      <c r="Z7" s="17">
        <v>1.125</v>
      </c>
      <c r="AA7" s="14">
        <v>2</v>
      </c>
      <c r="AB7" s="14">
        <v>2</v>
      </c>
      <c r="AC7" s="14">
        <v>2</v>
      </c>
      <c r="AD7" s="17">
        <f>IFERROR(Z7/(AA7*AB7)*AC7*AA7,"")</f>
        <v>1.125</v>
      </c>
      <c r="AE7" s="17">
        <f>Z7+AD7</f>
        <v>2.25</v>
      </c>
      <c r="AF7" s="17"/>
      <c r="AG7" s="14">
        <f>AB7+AC7</f>
        <v>4</v>
      </c>
      <c r="AH7" s="18" t="s">
        <v>60</v>
      </c>
      <c r="AI7" s="19"/>
      <c r="AJ7" s="19"/>
      <c r="AK7" s="19"/>
      <c r="AL7" s="19"/>
      <c r="AM7" s="19"/>
    </row>
    <row r="8" spans="1:39" ht="15.75" customHeight="1">
      <c r="A8" s="2"/>
      <c r="B8" s="20" t="s">
        <v>61</v>
      </c>
      <c r="C8" s="14" t="s">
        <v>55</v>
      </c>
      <c r="D8" s="14" t="s">
        <v>56</v>
      </c>
      <c r="E8" s="14" t="s">
        <v>35</v>
      </c>
      <c r="F8" s="14">
        <v>27</v>
      </c>
      <c r="G8" s="15">
        <v>10.8</v>
      </c>
      <c r="H8" s="14" t="s">
        <v>58</v>
      </c>
      <c r="I8" s="14" t="s">
        <v>37</v>
      </c>
      <c r="J8" s="14" t="s">
        <v>40</v>
      </c>
      <c r="K8" s="16"/>
      <c r="L8" s="14" t="s">
        <v>39</v>
      </c>
      <c r="M8" s="14" t="s">
        <v>40</v>
      </c>
      <c r="N8" s="14" t="s">
        <v>40</v>
      </c>
      <c r="O8" s="14" t="s">
        <v>59</v>
      </c>
      <c r="P8" s="14">
        <v>79.3</v>
      </c>
      <c r="Q8" s="14">
        <v>39.4</v>
      </c>
      <c r="R8" s="14">
        <v>51.8</v>
      </c>
      <c r="S8" s="14">
        <v>1</v>
      </c>
      <c r="T8" s="14">
        <v>0</v>
      </c>
      <c r="U8" s="14" t="s">
        <v>42</v>
      </c>
      <c r="V8" s="14" t="s">
        <v>43</v>
      </c>
      <c r="W8" s="14" t="s">
        <v>62</v>
      </c>
      <c r="X8" s="14">
        <v>1</v>
      </c>
      <c r="Y8" s="14" t="s">
        <v>45</v>
      </c>
      <c r="Z8" s="17">
        <v>1.125</v>
      </c>
      <c r="AA8" s="14">
        <v>2</v>
      </c>
      <c r="AB8" s="14">
        <v>2</v>
      </c>
      <c r="AC8" s="14">
        <v>2</v>
      </c>
      <c r="AD8" s="17">
        <f>IFERROR(Z8/(AA8*AB8)*AC8*AA8,"")</f>
        <v>1.125</v>
      </c>
      <c r="AE8" s="17">
        <f>Z8+AD8</f>
        <v>2.25</v>
      </c>
      <c r="AF8" s="17"/>
      <c r="AG8" s="14">
        <f>AB8+AC8</f>
        <v>4</v>
      </c>
      <c r="AH8" s="18" t="s">
        <v>63</v>
      </c>
      <c r="AI8" s="19"/>
      <c r="AJ8" s="19"/>
      <c r="AK8" s="19"/>
      <c r="AL8" s="19"/>
      <c r="AM8" s="19"/>
    </row>
    <row r="9" spans="1:39" ht="15.75" customHeight="1">
      <c r="A9" s="2"/>
      <c r="B9" s="20" t="s">
        <v>64</v>
      </c>
      <c r="C9" s="14" t="s">
        <v>65</v>
      </c>
      <c r="D9" s="14" t="s">
        <v>66</v>
      </c>
      <c r="E9" s="14" t="s">
        <v>35</v>
      </c>
      <c r="F9" s="14">
        <v>18</v>
      </c>
      <c r="G9" s="15">
        <v>6.12</v>
      </c>
      <c r="H9" s="14" t="s">
        <v>36</v>
      </c>
      <c r="I9" s="14" t="s">
        <v>37</v>
      </c>
      <c r="J9" s="14" t="s">
        <v>40</v>
      </c>
      <c r="K9" s="16"/>
      <c r="L9" s="14" t="s">
        <v>39</v>
      </c>
      <c r="M9" s="14" t="s">
        <v>40</v>
      </c>
      <c r="N9" s="14" t="s">
        <v>40</v>
      </c>
      <c r="O9" s="14" t="s">
        <v>41</v>
      </c>
      <c r="P9" s="14">
        <v>68.5</v>
      </c>
      <c r="Q9" s="14">
        <v>40.5</v>
      </c>
      <c r="R9" s="14">
        <v>43.9</v>
      </c>
      <c r="S9" s="14">
        <v>1</v>
      </c>
      <c r="T9" s="14">
        <v>0</v>
      </c>
      <c r="U9" s="14" t="s">
        <v>42</v>
      </c>
      <c r="V9" s="14" t="s">
        <v>67</v>
      </c>
      <c r="W9" s="14" t="s">
        <v>44</v>
      </c>
      <c r="X9" s="14">
        <v>1</v>
      </c>
      <c r="Y9" s="14" t="s">
        <v>45</v>
      </c>
      <c r="Z9" s="17">
        <v>0.70833333333333337</v>
      </c>
      <c r="AA9" s="14">
        <v>1</v>
      </c>
      <c r="AB9" s="14">
        <v>2</v>
      </c>
      <c r="AC9" s="14">
        <v>2</v>
      </c>
      <c r="AD9" s="17">
        <f>IFERROR(Z9/(AA9*AB9)*AC9*AA9,"")</f>
        <v>0.70833333333333337</v>
      </c>
      <c r="AE9" s="17">
        <f>Z9+AD9</f>
        <v>1.4166666666666667</v>
      </c>
      <c r="AF9" s="17"/>
      <c r="AG9" s="14">
        <f>AB9+AC9</f>
        <v>4</v>
      </c>
      <c r="AH9" s="18"/>
      <c r="AI9" s="19"/>
      <c r="AJ9" s="19"/>
      <c r="AK9" s="19"/>
      <c r="AL9" s="19"/>
      <c r="AM9" s="19"/>
    </row>
    <row r="10" spans="1:39" ht="15.75" customHeight="1">
      <c r="A10" s="2"/>
      <c r="B10" s="20" t="s">
        <v>68</v>
      </c>
      <c r="C10" s="14" t="s">
        <v>69</v>
      </c>
      <c r="D10" s="14" t="s">
        <v>70</v>
      </c>
      <c r="E10" s="14" t="s">
        <v>71</v>
      </c>
      <c r="F10" s="14">
        <v>13</v>
      </c>
      <c r="G10" s="15">
        <v>4.2249999999999996</v>
      </c>
      <c r="H10" s="14" t="s">
        <v>36</v>
      </c>
      <c r="I10" s="14" t="s">
        <v>37</v>
      </c>
      <c r="J10" s="14" t="s">
        <v>38</v>
      </c>
      <c r="K10" s="16"/>
      <c r="L10" s="14" t="s">
        <v>39</v>
      </c>
      <c r="M10" s="14" t="s">
        <v>40</v>
      </c>
      <c r="N10" s="14" t="s">
        <v>38</v>
      </c>
      <c r="O10" s="14" t="s">
        <v>53</v>
      </c>
      <c r="P10" s="14">
        <v>65.430000000000007</v>
      </c>
      <c r="Q10" s="14">
        <v>39.450000000000003</v>
      </c>
      <c r="R10" s="14">
        <v>41.6</v>
      </c>
      <c r="S10" s="14">
        <v>1</v>
      </c>
      <c r="T10" s="14">
        <v>0</v>
      </c>
      <c r="U10" s="14" t="s">
        <v>42</v>
      </c>
      <c r="V10" s="14" t="s">
        <v>43</v>
      </c>
      <c r="W10" s="14" t="s">
        <v>44</v>
      </c>
      <c r="X10" s="14">
        <v>2</v>
      </c>
      <c r="Y10" s="14" t="s">
        <v>45</v>
      </c>
      <c r="Z10" s="17">
        <v>0.8125</v>
      </c>
      <c r="AA10" s="14">
        <v>1</v>
      </c>
      <c r="AB10" s="14">
        <v>2</v>
      </c>
      <c r="AC10" s="14">
        <v>2</v>
      </c>
      <c r="AD10" s="17">
        <f>IFERROR(Z10/(AA10*AB10)*AC10*AA10,"")</f>
        <v>0.8125</v>
      </c>
      <c r="AE10" s="17">
        <f>Z10+AD10</f>
        <v>1.625</v>
      </c>
      <c r="AF10" s="17"/>
      <c r="AG10" s="14">
        <f>AB10+AC10</f>
        <v>4</v>
      </c>
      <c r="AH10" s="18"/>
      <c r="AI10" s="19"/>
      <c r="AJ10" s="19"/>
      <c r="AK10" s="19"/>
      <c r="AL10" s="19"/>
      <c r="AM10" s="19"/>
    </row>
    <row r="11" spans="1:39" ht="15.75" customHeight="1">
      <c r="A11" s="2"/>
      <c r="B11" s="20" t="s">
        <v>72</v>
      </c>
      <c r="C11" s="14" t="s">
        <v>33</v>
      </c>
      <c r="D11" s="14" t="s">
        <v>73</v>
      </c>
      <c r="E11" s="14" t="s">
        <v>74</v>
      </c>
      <c r="F11" s="14">
        <v>20</v>
      </c>
      <c r="G11" s="15">
        <v>7.3</v>
      </c>
      <c r="H11" s="14" t="s">
        <v>36</v>
      </c>
      <c r="I11" s="14" t="s">
        <v>37</v>
      </c>
      <c r="J11" s="14" t="s">
        <v>40</v>
      </c>
      <c r="K11" s="16"/>
      <c r="L11" s="14" t="s">
        <v>50</v>
      </c>
      <c r="M11" s="14" t="s">
        <v>40</v>
      </c>
      <c r="N11" s="14" t="s">
        <v>38</v>
      </c>
      <c r="O11" s="14" t="s">
        <v>75</v>
      </c>
      <c r="P11" s="14">
        <v>67.8</v>
      </c>
      <c r="Q11" s="14">
        <v>40</v>
      </c>
      <c r="R11" s="14">
        <v>43</v>
      </c>
      <c r="S11" s="14">
        <v>1</v>
      </c>
      <c r="T11" s="14">
        <v>0</v>
      </c>
      <c r="U11" s="14" t="s">
        <v>42</v>
      </c>
      <c r="V11" s="14" t="s">
        <v>43</v>
      </c>
      <c r="W11" s="14" t="s">
        <v>44</v>
      </c>
      <c r="X11" s="14">
        <v>1</v>
      </c>
      <c r="Y11" s="14" t="s">
        <v>45</v>
      </c>
      <c r="Z11" s="17">
        <v>1.59375</v>
      </c>
      <c r="AA11" s="14">
        <v>3</v>
      </c>
      <c r="AB11" s="14">
        <v>2</v>
      </c>
      <c r="AC11" s="14">
        <v>2</v>
      </c>
      <c r="AD11" s="17">
        <f>IFERROR(Z11/(AA11*AB11)*AC11*AA11,"")</f>
        <v>1.59375</v>
      </c>
      <c r="AE11" s="17">
        <f>Z11+AD11</f>
        <v>3.1875</v>
      </c>
      <c r="AF11" s="17"/>
      <c r="AG11" s="14">
        <f>AB11+AC11</f>
        <v>4</v>
      </c>
      <c r="AH11" s="18"/>
      <c r="AI11" s="19"/>
      <c r="AJ11" s="19"/>
      <c r="AK11" s="19"/>
      <c r="AL11" s="19"/>
      <c r="AM11" s="19"/>
    </row>
    <row r="12" spans="1:39" ht="15.75" customHeight="1">
      <c r="A12" s="2"/>
      <c r="B12" s="20" t="s">
        <v>76</v>
      </c>
      <c r="C12" s="14" t="s">
        <v>77</v>
      </c>
      <c r="D12" s="14" t="s">
        <v>78</v>
      </c>
      <c r="E12" s="14" t="s">
        <v>79</v>
      </c>
      <c r="F12" s="14">
        <v>18</v>
      </c>
      <c r="G12" s="15">
        <v>5.76</v>
      </c>
      <c r="H12" s="14" t="s">
        <v>36</v>
      </c>
      <c r="I12" s="14" t="s">
        <v>37</v>
      </c>
      <c r="J12" s="14" t="s">
        <v>40</v>
      </c>
      <c r="K12" s="16"/>
      <c r="L12" s="14" t="s">
        <v>39</v>
      </c>
      <c r="M12" s="14" t="s">
        <v>40</v>
      </c>
      <c r="N12" s="14" t="s">
        <v>40</v>
      </c>
      <c r="O12" s="14" t="s">
        <v>80</v>
      </c>
      <c r="P12" s="14">
        <v>65.94</v>
      </c>
      <c r="Q12" s="14">
        <v>39.25</v>
      </c>
      <c r="R12" s="14">
        <v>39.700000000000003</v>
      </c>
      <c r="S12" s="14">
        <v>1</v>
      </c>
      <c r="T12" s="14">
        <v>0</v>
      </c>
      <c r="U12" s="14" t="s">
        <v>42</v>
      </c>
      <c r="V12" s="14" t="s">
        <v>67</v>
      </c>
      <c r="W12" s="14" t="s">
        <v>44</v>
      </c>
      <c r="X12" s="14">
        <v>2</v>
      </c>
      <c r="Y12" s="14" t="s">
        <v>45</v>
      </c>
      <c r="Z12" s="17">
        <v>1.0729166666666667</v>
      </c>
      <c r="AA12" s="14">
        <v>2</v>
      </c>
      <c r="AB12" s="14">
        <v>2</v>
      </c>
      <c r="AC12" s="14">
        <v>2</v>
      </c>
      <c r="AD12" s="17">
        <f>IFERROR(Z12/(AA12*AB12)*AC12*AA12,"")</f>
        <v>1.0729166666666667</v>
      </c>
      <c r="AE12" s="17">
        <f>Z12+AD12</f>
        <v>2.1458333333333335</v>
      </c>
      <c r="AF12" s="17"/>
      <c r="AG12" s="14">
        <f>AB12+AC12</f>
        <v>4</v>
      </c>
      <c r="AH12" s="18"/>
      <c r="AI12" s="19"/>
      <c r="AJ12" s="19"/>
      <c r="AK12" s="19"/>
      <c r="AL12" s="19"/>
      <c r="AM12" s="19"/>
    </row>
    <row r="13" spans="1:39" ht="15.75" customHeight="1">
      <c r="A13" s="2"/>
      <c r="B13" s="20" t="s">
        <v>81</v>
      </c>
      <c r="C13" s="14" t="s">
        <v>82</v>
      </c>
      <c r="D13" s="14" t="s">
        <v>83</v>
      </c>
      <c r="E13" s="14" t="s">
        <v>84</v>
      </c>
      <c r="F13" s="14">
        <v>16</v>
      </c>
      <c r="G13" s="15">
        <v>5.12</v>
      </c>
      <c r="H13" s="14" t="s">
        <v>36</v>
      </c>
      <c r="I13" s="14" t="s">
        <v>37</v>
      </c>
      <c r="J13" s="14" t="s">
        <v>38</v>
      </c>
      <c r="K13" s="16"/>
      <c r="L13" s="14" t="s">
        <v>50</v>
      </c>
      <c r="M13" s="14" t="s">
        <v>38</v>
      </c>
      <c r="N13" s="14" t="s">
        <v>38</v>
      </c>
      <c r="O13" s="14" t="s">
        <v>75</v>
      </c>
      <c r="P13" s="14">
        <v>65.94</v>
      </c>
      <c r="Q13" s="14">
        <v>39.25</v>
      </c>
      <c r="R13" s="14">
        <v>39.700000000000003</v>
      </c>
      <c r="S13" s="14">
        <v>1</v>
      </c>
      <c r="T13" s="14">
        <v>10</v>
      </c>
      <c r="U13" s="14" t="s">
        <v>42</v>
      </c>
      <c r="V13" s="14" t="s">
        <v>43</v>
      </c>
      <c r="W13" s="14" t="s">
        <v>85</v>
      </c>
      <c r="X13" s="14">
        <v>1</v>
      </c>
      <c r="Y13" s="14" t="s">
        <v>45</v>
      </c>
      <c r="Z13" s="17">
        <v>1.40625</v>
      </c>
      <c r="AA13" s="14">
        <v>2</v>
      </c>
      <c r="AB13" s="14">
        <v>2</v>
      </c>
      <c r="AC13" s="14">
        <v>2</v>
      </c>
      <c r="AD13" s="17">
        <f>IFERROR(Z13/(AA13*AB13)*AC13*AA13,"")</f>
        <v>1.40625</v>
      </c>
      <c r="AE13" s="17">
        <f>Z13+AD13</f>
        <v>2.8125</v>
      </c>
      <c r="AF13" s="17"/>
      <c r="AG13" s="14">
        <f>AB13+AC13</f>
        <v>4</v>
      </c>
      <c r="AH13" s="18"/>
      <c r="AI13" s="19"/>
      <c r="AJ13" s="19"/>
      <c r="AK13" s="19"/>
      <c r="AL13" s="19"/>
      <c r="AM13" s="19"/>
    </row>
    <row r="14" spans="1:39" ht="15.75" customHeight="1">
      <c r="A14" s="2"/>
      <c r="B14" s="20" t="s">
        <v>86</v>
      </c>
      <c r="C14" s="14" t="s">
        <v>87</v>
      </c>
      <c r="D14" s="14" t="s">
        <v>88</v>
      </c>
      <c r="E14" s="14" t="s">
        <v>89</v>
      </c>
      <c r="F14" s="14">
        <v>22</v>
      </c>
      <c r="G14" s="15">
        <v>8.0299999999999994</v>
      </c>
      <c r="H14" s="14" t="s">
        <v>58</v>
      </c>
      <c r="I14" s="14" t="s">
        <v>37</v>
      </c>
      <c r="J14" s="14" t="s">
        <v>38</v>
      </c>
      <c r="K14" s="16"/>
      <c r="L14" s="14" t="s">
        <v>39</v>
      </c>
      <c r="M14" s="14" t="s">
        <v>40</v>
      </c>
      <c r="N14" s="14" t="s">
        <v>40</v>
      </c>
      <c r="O14" s="14" t="s">
        <v>41</v>
      </c>
      <c r="P14" s="14">
        <v>67.8</v>
      </c>
      <c r="Q14" s="14">
        <v>40</v>
      </c>
      <c r="R14" s="14">
        <v>43</v>
      </c>
      <c r="S14" s="14">
        <v>2</v>
      </c>
      <c r="T14" s="14">
        <v>0</v>
      </c>
      <c r="U14" s="14" t="s">
        <v>42</v>
      </c>
      <c r="V14" s="14" t="s">
        <v>43</v>
      </c>
      <c r="W14" s="14" t="s">
        <v>44</v>
      </c>
      <c r="X14" s="14">
        <v>2</v>
      </c>
      <c r="Y14" s="14" t="s">
        <v>45</v>
      </c>
      <c r="Z14" s="17">
        <v>1.8125</v>
      </c>
      <c r="AA14" s="14">
        <v>4</v>
      </c>
      <c r="AB14" s="14">
        <v>2</v>
      </c>
      <c r="AC14" s="14">
        <v>2</v>
      </c>
      <c r="AD14" s="17">
        <f>IFERROR(Z14/(AA14*AB14)*AC14*AA14,"")</f>
        <v>1.8125</v>
      </c>
      <c r="AE14" s="17">
        <f>Z14+AD14</f>
        <v>3.625</v>
      </c>
      <c r="AF14" s="17"/>
      <c r="AG14" s="14">
        <f>AB14+AC14</f>
        <v>4</v>
      </c>
      <c r="AH14" s="18"/>
      <c r="AI14" s="19"/>
      <c r="AJ14" s="19"/>
      <c r="AK14" s="19"/>
      <c r="AL14" s="19"/>
      <c r="AM14" s="19"/>
    </row>
    <row r="15" spans="1:39" ht="15.75" customHeight="1">
      <c r="A15" s="2"/>
      <c r="B15" s="20" t="s">
        <v>90</v>
      </c>
      <c r="C15" s="14" t="s">
        <v>91</v>
      </c>
      <c r="D15" s="14" t="s">
        <v>48</v>
      </c>
      <c r="E15" s="14" t="s">
        <v>35</v>
      </c>
      <c r="F15" s="14">
        <v>24</v>
      </c>
      <c r="G15" s="15">
        <v>8.52</v>
      </c>
      <c r="H15" s="14" t="s">
        <v>58</v>
      </c>
      <c r="I15" s="14" t="s">
        <v>37</v>
      </c>
      <c r="J15" s="14" t="s">
        <v>40</v>
      </c>
      <c r="K15" s="16"/>
      <c r="L15" s="14" t="s">
        <v>39</v>
      </c>
      <c r="M15" s="14" t="s">
        <v>40</v>
      </c>
      <c r="N15" s="14" t="s">
        <v>40</v>
      </c>
      <c r="O15" s="14" t="s">
        <v>92</v>
      </c>
      <c r="P15" s="14">
        <v>67.8</v>
      </c>
      <c r="Q15" s="14">
        <v>40</v>
      </c>
      <c r="R15" s="14">
        <v>43</v>
      </c>
      <c r="S15" s="14">
        <v>1</v>
      </c>
      <c r="T15" s="14">
        <v>0</v>
      </c>
      <c r="U15" s="14" t="s">
        <v>42</v>
      </c>
      <c r="V15" s="14" t="s">
        <v>43</v>
      </c>
      <c r="W15" s="14" t="s">
        <v>44</v>
      </c>
      <c r="X15" s="14">
        <v>2</v>
      </c>
      <c r="Y15" s="14" t="s">
        <v>45</v>
      </c>
      <c r="Z15" s="17">
        <v>0.53125</v>
      </c>
      <c r="AA15" s="14">
        <v>1</v>
      </c>
      <c r="AB15" s="14">
        <v>1</v>
      </c>
      <c r="AC15" s="14">
        <v>2</v>
      </c>
      <c r="AD15" s="17">
        <f>IFERROR(Z15/(AA15*AB15)*AC15*AA15,"")</f>
        <v>1.0625</v>
      </c>
      <c r="AE15" s="17">
        <f>Z15+AD15</f>
        <v>1.59375</v>
      </c>
      <c r="AF15" s="17"/>
      <c r="AG15" s="14">
        <f>AB15+AC15</f>
        <v>3</v>
      </c>
      <c r="AH15" s="18"/>
      <c r="AI15" s="19"/>
      <c r="AJ15" s="19"/>
      <c r="AK15" s="19"/>
      <c r="AL15" s="19"/>
      <c r="AM15" s="19"/>
    </row>
    <row r="16" spans="1:39" ht="15.75" customHeight="1">
      <c r="A16" s="2"/>
      <c r="B16" s="20" t="s">
        <v>93</v>
      </c>
      <c r="C16" s="14" t="s">
        <v>94</v>
      </c>
      <c r="D16" s="14" t="s">
        <v>48</v>
      </c>
      <c r="E16" s="14" t="s">
        <v>95</v>
      </c>
      <c r="F16" s="14">
        <v>20</v>
      </c>
      <c r="G16" s="15">
        <v>7.3</v>
      </c>
      <c r="H16" s="14" t="s">
        <v>36</v>
      </c>
      <c r="I16" s="14" t="s">
        <v>37</v>
      </c>
      <c r="J16" s="14" t="s">
        <v>40</v>
      </c>
      <c r="K16" s="16"/>
      <c r="L16" s="14" t="s">
        <v>50</v>
      </c>
      <c r="M16" s="14" t="s">
        <v>40</v>
      </c>
      <c r="N16" s="14" t="s">
        <v>40</v>
      </c>
      <c r="O16" s="14" t="s">
        <v>92</v>
      </c>
      <c r="P16" s="14">
        <v>67.8</v>
      </c>
      <c r="Q16" s="14">
        <v>40</v>
      </c>
      <c r="R16" s="14">
        <v>43</v>
      </c>
      <c r="S16" s="14">
        <v>1</v>
      </c>
      <c r="T16" s="14">
        <v>0</v>
      </c>
      <c r="U16" s="14" t="s">
        <v>42</v>
      </c>
      <c r="V16" s="14" t="s">
        <v>43</v>
      </c>
      <c r="W16" s="14" t="s">
        <v>44</v>
      </c>
      <c r="X16" s="14">
        <v>2</v>
      </c>
      <c r="Y16" s="14" t="s">
        <v>45</v>
      </c>
      <c r="Z16" s="17">
        <v>1.5625</v>
      </c>
      <c r="AA16" s="14">
        <v>2</v>
      </c>
      <c r="AB16" s="14">
        <v>2</v>
      </c>
      <c r="AC16" s="14">
        <v>2</v>
      </c>
      <c r="AD16" s="17">
        <f>IFERROR(Z16/(AA16*AB16)*AC16*AA16,"")</f>
        <v>1.5625</v>
      </c>
      <c r="AE16" s="17">
        <f>Z16+AD16</f>
        <v>3.125</v>
      </c>
      <c r="AF16" s="17"/>
      <c r="AG16" s="14">
        <f>AB16+AC16</f>
        <v>4</v>
      </c>
      <c r="AH16" s="18"/>
      <c r="AI16" s="19"/>
      <c r="AJ16" s="19"/>
      <c r="AK16" s="19"/>
      <c r="AL16" s="19"/>
      <c r="AM16" s="19"/>
    </row>
    <row r="17" spans="1:39" ht="15.75" customHeight="1">
      <c r="A17" s="2"/>
      <c r="B17" s="20" t="s">
        <v>96</v>
      </c>
      <c r="C17" s="14" t="s">
        <v>97</v>
      </c>
      <c r="D17" s="14" t="s">
        <v>98</v>
      </c>
      <c r="E17" s="14" t="s">
        <v>99</v>
      </c>
      <c r="F17" s="14">
        <v>31</v>
      </c>
      <c r="G17" s="15">
        <v>11.005000000000001</v>
      </c>
      <c r="H17" s="14" t="s">
        <v>36</v>
      </c>
      <c r="I17" s="14" t="s">
        <v>37</v>
      </c>
      <c r="J17" s="14" t="s">
        <v>40</v>
      </c>
      <c r="K17" s="16"/>
      <c r="L17" s="14" t="s">
        <v>39</v>
      </c>
      <c r="M17" s="14" t="s">
        <v>40</v>
      </c>
      <c r="N17" s="14" t="s">
        <v>40</v>
      </c>
      <c r="O17" s="14" t="s">
        <v>100</v>
      </c>
      <c r="P17" s="14">
        <v>67.8</v>
      </c>
      <c r="Q17" s="14">
        <v>40</v>
      </c>
      <c r="R17" s="14">
        <v>43</v>
      </c>
      <c r="S17" s="14">
        <v>5</v>
      </c>
      <c r="T17" s="14">
        <v>0</v>
      </c>
      <c r="U17" s="14" t="s">
        <v>42</v>
      </c>
      <c r="V17" s="14" t="s">
        <v>43</v>
      </c>
      <c r="W17" s="14" t="s">
        <v>44</v>
      </c>
      <c r="X17" s="14">
        <v>1</v>
      </c>
      <c r="Y17" s="14" t="s">
        <v>45</v>
      </c>
      <c r="Z17" s="17">
        <v>1.4791666666666667</v>
      </c>
      <c r="AA17" s="14">
        <v>3</v>
      </c>
      <c r="AB17" s="14">
        <v>2</v>
      </c>
      <c r="AC17" s="14">
        <v>2</v>
      </c>
      <c r="AD17" s="17">
        <f>IFERROR(Z17/(AA17*AB17)*AC17*AA17,"")</f>
        <v>1.4791666666666667</v>
      </c>
      <c r="AE17" s="17">
        <f>Z17+AD17</f>
        <v>2.9583333333333335</v>
      </c>
      <c r="AF17" s="17"/>
      <c r="AG17" s="14">
        <f>AB17+AC17</f>
        <v>4</v>
      </c>
      <c r="AH17" s="18"/>
      <c r="AI17" s="19"/>
      <c r="AJ17" s="19"/>
      <c r="AK17" s="19"/>
      <c r="AL17" s="19"/>
      <c r="AM17" s="19"/>
    </row>
    <row r="18" spans="1:39" ht="15.75" customHeight="1">
      <c r="A18" s="2"/>
      <c r="B18" s="20" t="s">
        <v>101</v>
      </c>
      <c r="C18" s="14" t="s">
        <v>102</v>
      </c>
      <c r="D18" s="14" t="s">
        <v>52</v>
      </c>
      <c r="E18" s="14" t="s">
        <v>35</v>
      </c>
      <c r="F18" s="14">
        <v>32</v>
      </c>
      <c r="G18" s="15">
        <v>11.36</v>
      </c>
      <c r="H18" s="14" t="s">
        <v>58</v>
      </c>
      <c r="I18" s="14" t="s">
        <v>37</v>
      </c>
      <c r="J18" s="14" t="s">
        <v>40</v>
      </c>
      <c r="K18" s="16"/>
      <c r="L18" s="14" t="s">
        <v>39</v>
      </c>
      <c r="M18" s="14" t="s">
        <v>40</v>
      </c>
      <c r="N18" s="14" t="s">
        <v>38</v>
      </c>
      <c r="O18" s="14" t="s">
        <v>103</v>
      </c>
      <c r="P18" s="14">
        <v>67.8</v>
      </c>
      <c r="Q18" s="14">
        <v>40</v>
      </c>
      <c r="R18" s="14">
        <v>43</v>
      </c>
      <c r="S18" s="14">
        <v>3</v>
      </c>
      <c r="T18" s="14">
        <v>0</v>
      </c>
      <c r="U18" s="14" t="s">
        <v>42</v>
      </c>
      <c r="V18" s="14" t="s">
        <v>43</v>
      </c>
      <c r="W18" s="14" t="s">
        <v>44</v>
      </c>
      <c r="X18" s="14">
        <v>2</v>
      </c>
      <c r="Y18" s="14" t="s">
        <v>45</v>
      </c>
      <c r="Z18" s="17">
        <v>1.6875</v>
      </c>
      <c r="AA18" s="14">
        <v>3</v>
      </c>
      <c r="AB18" s="14">
        <v>3</v>
      </c>
      <c r="AC18" s="14">
        <v>2</v>
      </c>
      <c r="AD18" s="17">
        <f>IFERROR(Z18/(AA18*AB18)*AC18*AA18,"")</f>
        <v>1.125</v>
      </c>
      <c r="AE18" s="17">
        <f>Z18+AD18</f>
        <v>2.8125</v>
      </c>
      <c r="AF18" s="17"/>
      <c r="AG18" s="14">
        <f>AB18+AC18</f>
        <v>5</v>
      </c>
      <c r="AH18" s="18"/>
      <c r="AI18" s="19"/>
      <c r="AJ18" s="19"/>
      <c r="AK18" s="19"/>
      <c r="AL18" s="19"/>
      <c r="AM18" s="19"/>
    </row>
    <row r="19" spans="1:39" ht="15.75" customHeight="1">
      <c r="A19" s="2"/>
      <c r="B19" s="20" t="s">
        <v>104</v>
      </c>
      <c r="C19" s="14" t="s">
        <v>77</v>
      </c>
      <c r="D19" s="14" t="s">
        <v>105</v>
      </c>
      <c r="E19" s="14" t="s">
        <v>106</v>
      </c>
      <c r="F19" s="14">
        <v>23</v>
      </c>
      <c r="G19" s="15">
        <v>7.59</v>
      </c>
      <c r="H19" s="14" t="s">
        <v>36</v>
      </c>
      <c r="I19" s="14" t="s">
        <v>37</v>
      </c>
      <c r="J19" s="14" t="s">
        <v>40</v>
      </c>
      <c r="K19" s="16"/>
      <c r="L19" s="14" t="s">
        <v>39</v>
      </c>
      <c r="M19" s="14" t="s">
        <v>40</v>
      </c>
      <c r="N19" s="14" t="s">
        <v>40</v>
      </c>
      <c r="O19" s="14" t="s">
        <v>80</v>
      </c>
      <c r="P19" s="14">
        <v>66.53</v>
      </c>
      <c r="Q19" s="14">
        <v>39.21</v>
      </c>
      <c r="R19" s="14">
        <v>39.700000000000003</v>
      </c>
      <c r="S19" s="14">
        <v>2</v>
      </c>
      <c r="T19" s="14">
        <v>0</v>
      </c>
      <c r="U19" s="14" t="s">
        <v>42</v>
      </c>
      <c r="V19" s="14" t="s">
        <v>43</v>
      </c>
      <c r="W19" s="14" t="s">
        <v>44</v>
      </c>
      <c r="X19" s="14">
        <v>1</v>
      </c>
      <c r="Y19" s="14" t="s">
        <v>45</v>
      </c>
      <c r="Z19" s="17">
        <v>1.2291666666666667</v>
      </c>
      <c r="AA19" s="14">
        <v>2</v>
      </c>
      <c r="AB19" s="14">
        <v>2</v>
      </c>
      <c r="AC19" s="14">
        <v>2</v>
      </c>
      <c r="AD19" s="17">
        <f>IFERROR(Z19/(AA19*AB19)*AC19*AA19,"")</f>
        <v>1.2291666666666667</v>
      </c>
      <c r="AE19" s="17">
        <f>Z19+AD19</f>
        <v>2.4583333333333335</v>
      </c>
      <c r="AF19" s="17"/>
      <c r="AG19" s="14">
        <f>AB19+AC19</f>
        <v>4</v>
      </c>
      <c r="AH19" s="18"/>
      <c r="AI19" s="19"/>
      <c r="AJ19" s="19"/>
      <c r="AK19" s="19"/>
      <c r="AL19" s="19"/>
      <c r="AM19" s="19"/>
    </row>
    <row r="20" spans="1:39" ht="15.75" customHeight="1">
      <c r="A20" s="2"/>
      <c r="B20" s="20" t="s">
        <v>107</v>
      </c>
      <c r="C20" s="14" t="s">
        <v>33</v>
      </c>
      <c r="D20" s="14" t="s">
        <v>52</v>
      </c>
      <c r="E20" s="14" t="s">
        <v>35</v>
      </c>
      <c r="F20" s="14">
        <v>20</v>
      </c>
      <c r="G20" s="15">
        <v>6.4</v>
      </c>
      <c r="H20" s="14" t="s">
        <v>36</v>
      </c>
      <c r="I20" s="14" t="s">
        <v>37</v>
      </c>
      <c r="J20" s="14" t="s">
        <v>40</v>
      </c>
      <c r="K20" s="16"/>
      <c r="L20" s="14" t="s">
        <v>39</v>
      </c>
      <c r="M20" s="14" t="s">
        <v>40</v>
      </c>
      <c r="N20" s="14" t="s">
        <v>40</v>
      </c>
      <c r="O20" s="14" t="s">
        <v>41</v>
      </c>
      <c r="P20" s="14">
        <v>39.4</v>
      </c>
      <c r="Q20" s="14">
        <v>66.900000000000006</v>
      </c>
      <c r="R20" s="14">
        <v>41</v>
      </c>
      <c r="S20" s="14">
        <v>2</v>
      </c>
      <c r="T20" s="14">
        <v>0</v>
      </c>
      <c r="U20" s="14" t="s">
        <v>42</v>
      </c>
      <c r="V20" s="14" t="s">
        <v>43</v>
      </c>
      <c r="W20" s="14" t="s">
        <v>44</v>
      </c>
      <c r="X20" s="14">
        <v>2</v>
      </c>
      <c r="Y20" s="14" t="s">
        <v>45</v>
      </c>
      <c r="Z20" s="17">
        <v>0.83333333333333337</v>
      </c>
      <c r="AA20" s="14">
        <v>1</v>
      </c>
      <c r="AB20" s="14">
        <v>2</v>
      </c>
      <c r="AC20" s="14">
        <v>2</v>
      </c>
      <c r="AD20" s="17">
        <f>IFERROR(Z20/(AA20*AB20)*AC20*AA20,"")</f>
        <v>0.83333333333333337</v>
      </c>
      <c r="AE20" s="17">
        <f>Z20+AD20</f>
        <v>1.6666666666666667</v>
      </c>
      <c r="AF20" s="17"/>
      <c r="AG20" s="14">
        <f>AB20+AC20</f>
        <v>4</v>
      </c>
      <c r="AH20" s="18"/>
      <c r="AI20" s="19"/>
      <c r="AJ20" s="19"/>
      <c r="AK20" s="19"/>
      <c r="AL20" s="19"/>
      <c r="AM20" s="19"/>
    </row>
    <row r="21" spans="1:39" ht="15.75" customHeight="1">
      <c r="A21" s="2"/>
      <c r="B21" s="20" t="s">
        <v>108</v>
      </c>
      <c r="C21" s="14" t="s">
        <v>109</v>
      </c>
      <c r="D21" s="14" t="s">
        <v>110</v>
      </c>
      <c r="E21" s="14" t="s">
        <v>111</v>
      </c>
      <c r="F21" s="14">
        <v>12</v>
      </c>
      <c r="G21" s="15">
        <v>4.26</v>
      </c>
      <c r="H21" s="14" t="s">
        <v>36</v>
      </c>
      <c r="I21" s="14" t="s">
        <v>37</v>
      </c>
      <c r="J21" s="14" t="s">
        <v>38</v>
      </c>
      <c r="K21" s="16"/>
      <c r="L21" s="14" t="s">
        <v>50</v>
      </c>
      <c r="M21" s="14" t="s">
        <v>40</v>
      </c>
      <c r="N21" s="14" t="s">
        <v>38</v>
      </c>
      <c r="O21" s="14" t="s">
        <v>75</v>
      </c>
      <c r="P21" s="14">
        <v>66.930000000000007</v>
      </c>
      <c r="Q21" s="14">
        <v>40</v>
      </c>
      <c r="R21" s="14">
        <v>39.700000000000003</v>
      </c>
      <c r="S21" s="14">
        <v>1</v>
      </c>
      <c r="T21" s="14">
        <v>0</v>
      </c>
      <c r="U21" s="14" t="s">
        <v>112</v>
      </c>
      <c r="V21" s="14" t="s">
        <v>113</v>
      </c>
      <c r="W21" s="14" t="s">
        <v>44</v>
      </c>
      <c r="X21" s="14">
        <v>1</v>
      </c>
      <c r="Y21" s="14" t="s">
        <v>114</v>
      </c>
      <c r="Z21" s="17">
        <v>1.0104166666666667</v>
      </c>
      <c r="AA21" s="14">
        <v>2</v>
      </c>
      <c r="AB21" s="14">
        <v>2</v>
      </c>
      <c r="AC21" s="14">
        <v>2</v>
      </c>
      <c r="AD21" s="17">
        <f>IFERROR(Z21/(AA21*AB21)*AC21*AA21,"")</f>
        <v>1.0104166666666667</v>
      </c>
      <c r="AE21" s="17">
        <f>Z21+AD21</f>
        <v>2.0208333333333335</v>
      </c>
      <c r="AF21" s="17"/>
      <c r="AG21" s="14">
        <f>AB21+AC21</f>
        <v>4</v>
      </c>
      <c r="AH21" s="18"/>
      <c r="AI21" s="19"/>
      <c r="AJ21" s="19"/>
      <c r="AK21" s="19"/>
      <c r="AL21" s="19"/>
      <c r="AM21" s="19"/>
    </row>
    <row r="22" spans="1:39" ht="15.75" customHeight="1">
      <c r="A22" s="2"/>
      <c r="B22" s="20" t="s">
        <v>115</v>
      </c>
      <c r="C22" s="14" t="s">
        <v>116</v>
      </c>
      <c r="D22" s="14" t="s">
        <v>117</v>
      </c>
      <c r="E22" s="14" t="s">
        <v>35</v>
      </c>
      <c r="F22" s="14">
        <v>14</v>
      </c>
      <c r="G22" s="15">
        <v>5.18</v>
      </c>
      <c r="H22" s="14" t="s">
        <v>58</v>
      </c>
      <c r="I22" s="14" t="s">
        <v>37</v>
      </c>
      <c r="J22" s="14" t="s">
        <v>38</v>
      </c>
      <c r="K22" s="16"/>
      <c r="L22" s="14" t="s">
        <v>39</v>
      </c>
      <c r="M22" s="14" t="s">
        <v>40</v>
      </c>
      <c r="N22" s="14" t="s">
        <v>38</v>
      </c>
      <c r="O22" s="14" t="s">
        <v>53</v>
      </c>
      <c r="P22" s="14">
        <v>70.67</v>
      </c>
      <c r="Q22" s="14">
        <v>39.979999999999997</v>
      </c>
      <c r="R22" s="14">
        <v>41.9</v>
      </c>
      <c r="S22" s="14">
        <v>1</v>
      </c>
      <c r="T22" s="14">
        <v>0</v>
      </c>
      <c r="U22" s="14" t="s">
        <v>42</v>
      </c>
      <c r="V22" s="14" t="s">
        <v>43</v>
      </c>
      <c r="W22" s="14" t="s">
        <v>44</v>
      </c>
      <c r="X22" s="14">
        <v>1</v>
      </c>
      <c r="Y22" s="14" t="s">
        <v>45</v>
      </c>
      <c r="Z22" s="17">
        <v>1.3958333333333333</v>
      </c>
      <c r="AA22" s="14">
        <v>2</v>
      </c>
      <c r="AB22" s="14">
        <v>2</v>
      </c>
      <c r="AC22" s="14">
        <v>2</v>
      </c>
      <c r="AD22" s="17">
        <f>IFERROR(Z22/(AA22*AB22)*AC22*AA22,"")</f>
        <v>1.3958333333333333</v>
      </c>
      <c r="AE22" s="17">
        <f>Z22+AD22</f>
        <v>2.7916666666666665</v>
      </c>
      <c r="AF22" s="17"/>
      <c r="AG22" s="14">
        <f>AB22+AC22</f>
        <v>4</v>
      </c>
      <c r="AH22" s="18"/>
      <c r="AI22" s="19"/>
      <c r="AJ22" s="19"/>
      <c r="AK22" s="19"/>
      <c r="AL22" s="19"/>
      <c r="AM22" s="19"/>
    </row>
    <row r="23" spans="1:39" ht="15.75" customHeight="1">
      <c r="A23" s="2"/>
      <c r="B23" s="20" t="s">
        <v>118</v>
      </c>
      <c r="C23" s="14" t="s">
        <v>119</v>
      </c>
      <c r="D23" s="14" t="s">
        <v>120</v>
      </c>
      <c r="E23" s="14" t="s">
        <v>121</v>
      </c>
      <c r="F23" s="14">
        <v>43</v>
      </c>
      <c r="G23" s="15">
        <v>18.274999999999999</v>
      </c>
      <c r="H23" s="14" t="s">
        <v>36</v>
      </c>
      <c r="I23" s="14" t="s">
        <v>37</v>
      </c>
      <c r="J23" s="14" t="s">
        <v>40</v>
      </c>
      <c r="K23" s="16"/>
      <c r="L23" s="14" t="s">
        <v>122</v>
      </c>
      <c r="M23" s="14" t="s">
        <v>38</v>
      </c>
      <c r="N23" s="14" t="s">
        <v>40</v>
      </c>
      <c r="O23" s="14" t="s">
        <v>41</v>
      </c>
      <c r="P23" s="14">
        <v>81.900000000000006</v>
      </c>
      <c r="Q23" s="14">
        <v>40.6</v>
      </c>
      <c r="R23" s="14">
        <v>55.1</v>
      </c>
      <c r="S23" s="14">
        <v>1</v>
      </c>
      <c r="T23" s="14">
        <v>2</v>
      </c>
      <c r="U23" s="14" t="s">
        <v>123</v>
      </c>
      <c r="V23" s="14" t="s">
        <v>124</v>
      </c>
      <c r="W23" s="14" t="s">
        <v>85</v>
      </c>
      <c r="X23" s="14">
        <v>1</v>
      </c>
      <c r="Y23" s="14" t="s">
        <v>114</v>
      </c>
      <c r="Z23" s="17">
        <v>3.4270833333333335</v>
      </c>
      <c r="AA23" s="14">
        <v>4</v>
      </c>
      <c r="AB23" s="14">
        <v>3</v>
      </c>
      <c r="AC23" s="14">
        <v>2</v>
      </c>
      <c r="AD23" s="17">
        <f>IFERROR(Z23/(AA23*AB23)*AC23*AA23,"")</f>
        <v>2.2847222222222223</v>
      </c>
      <c r="AE23" s="17">
        <f>Z23+AD23</f>
        <v>5.7118055555555554</v>
      </c>
      <c r="AF23" s="17"/>
      <c r="AG23" s="14">
        <f>AB23+AC23</f>
        <v>5</v>
      </c>
      <c r="AH23" s="18"/>
      <c r="AI23" s="19"/>
      <c r="AJ23" s="19"/>
      <c r="AK23" s="19"/>
      <c r="AL23" s="19"/>
      <c r="AM23" s="19"/>
    </row>
    <row r="24" spans="1:39" ht="15.75" customHeight="1">
      <c r="A24" s="2"/>
      <c r="B24" s="20" t="s">
        <v>125</v>
      </c>
      <c r="C24" s="14" t="s">
        <v>126</v>
      </c>
      <c r="D24" s="14" t="s">
        <v>78</v>
      </c>
      <c r="E24" s="14" t="s">
        <v>35</v>
      </c>
      <c r="F24" s="14">
        <v>14</v>
      </c>
      <c r="G24" s="15">
        <v>5.95</v>
      </c>
      <c r="H24" s="14" t="s">
        <v>36</v>
      </c>
      <c r="I24" s="14" t="s">
        <v>37</v>
      </c>
      <c r="J24" s="14" t="s">
        <v>40</v>
      </c>
      <c r="K24" s="16"/>
      <c r="L24" s="14" t="s">
        <v>50</v>
      </c>
      <c r="M24" s="14" t="s">
        <v>40</v>
      </c>
      <c r="N24" s="14" t="s">
        <v>40</v>
      </c>
      <c r="O24" s="14" t="s">
        <v>127</v>
      </c>
      <c r="P24" s="14">
        <v>81.900000000000006</v>
      </c>
      <c r="Q24" s="14">
        <v>40.6</v>
      </c>
      <c r="R24" s="14">
        <v>55.1</v>
      </c>
      <c r="S24" s="14">
        <v>1</v>
      </c>
      <c r="T24" s="14">
        <v>0</v>
      </c>
      <c r="U24" s="14" t="s">
        <v>42</v>
      </c>
      <c r="V24" s="14" t="s">
        <v>43</v>
      </c>
      <c r="W24" s="14" t="s">
        <v>44</v>
      </c>
      <c r="X24" s="14">
        <v>1</v>
      </c>
      <c r="Y24" s="14" t="s">
        <v>114</v>
      </c>
      <c r="Z24" s="17">
        <v>1.0416666666666667</v>
      </c>
      <c r="AA24" s="14">
        <v>1</v>
      </c>
      <c r="AB24" s="14">
        <v>3</v>
      </c>
      <c r="AC24" s="14">
        <v>2</v>
      </c>
      <c r="AD24" s="17">
        <f>IFERROR(Z24/(AA24*AB24)*AC24*AA24,"")</f>
        <v>0.69444444444444453</v>
      </c>
      <c r="AE24" s="17">
        <f>Z24+AD24</f>
        <v>1.7361111111111112</v>
      </c>
      <c r="AF24" s="17"/>
      <c r="AG24" s="14">
        <f>AB24+AC24</f>
        <v>5</v>
      </c>
      <c r="AH24" s="18"/>
      <c r="AI24" s="19"/>
      <c r="AJ24" s="19"/>
      <c r="AK24" s="19"/>
      <c r="AL24" s="19"/>
      <c r="AM24" s="19"/>
    </row>
    <row r="25" spans="1:39" ht="15.75" customHeight="1">
      <c r="A25" s="2"/>
      <c r="B25" s="20" t="s">
        <v>128</v>
      </c>
      <c r="C25" s="14" t="s">
        <v>129</v>
      </c>
      <c r="D25" s="14" t="s">
        <v>130</v>
      </c>
      <c r="E25" s="14" t="s">
        <v>131</v>
      </c>
      <c r="F25" s="14">
        <v>20</v>
      </c>
      <c r="G25" s="15">
        <v>7.4</v>
      </c>
      <c r="H25" s="14" t="s">
        <v>58</v>
      </c>
      <c r="I25" s="14" t="s">
        <v>37</v>
      </c>
      <c r="J25" s="14" t="s">
        <v>38</v>
      </c>
      <c r="K25" s="16"/>
      <c r="L25" s="14" t="s">
        <v>50</v>
      </c>
      <c r="M25" s="14" t="s">
        <v>40</v>
      </c>
      <c r="N25" s="14" t="s">
        <v>38</v>
      </c>
      <c r="O25" s="14" t="s">
        <v>103</v>
      </c>
      <c r="P25" s="14">
        <v>70.67</v>
      </c>
      <c r="Q25" s="14">
        <v>39.979999999999997</v>
      </c>
      <c r="R25" s="14">
        <v>41.9</v>
      </c>
      <c r="S25" s="14">
        <v>3</v>
      </c>
      <c r="T25" s="14">
        <v>0</v>
      </c>
      <c r="U25" s="14" t="s">
        <v>132</v>
      </c>
      <c r="V25" s="14" t="s">
        <v>133</v>
      </c>
      <c r="W25" s="14" t="s">
        <v>62</v>
      </c>
      <c r="X25" s="14">
        <v>2</v>
      </c>
      <c r="Y25" s="14" t="s">
        <v>114</v>
      </c>
      <c r="Z25" s="17">
        <v>1.3958333333333333</v>
      </c>
      <c r="AA25" s="14">
        <v>2</v>
      </c>
      <c r="AB25" s="14">
        <v>3</v>
      </c>
      <c r="AC25" s="14">
        <v>2</v>
      </c>
      <c r="AD25" s="17">
        <f>IFERROR(Z25/(AA25*AB25)*AC25*AA25,"")</f>
        <v>0.93055555555555547</v>
      </c>
      <c r="AE25" s="17">
        <f>Z25+AD25</f>
        <v>2.3263888888888888</v>
      </c>
      <c r="AF25" s="17"/>
      <c r="AG25" s="14">
        <f>AB25+AC25</f>
        <v>5</v>
      </c>
      <c r="AH25" s="18"/>
      <c r="AI25" s="19"/>
      <c r="AJ25" s="19"/>
      <c r="AK25" s="19"/>
      <c r="AL25" s="19"/>
      <c r="AM25" s="19"/>
    </row>
    <row r="26" spans="1:39" ht="15.75" customHeight="1">
      <c r="A26" s="2"/>
      <c r="B26" s="20" t="s">
        <v>134</v>
      </c>
      <c r="C26" s="14" t="s">
        <v>126</v>
      </c>
      <c r="D26" s="14" t="s">
        <v>78</v>
      </c>
      <c r="E26" s="14" t="s">
        <v>35</v>
      </c>
      <c r="F26" s="14">
        <v>49</v>
      </c>
      <c r="G26" s="15">
        <v>21.07</v>
      </c>
      <c r="H26" s="14" t="s">
        <v>36</v>
      </c>
      <c r="I26" s="14" t="s">
        <v>37</v>
      </c>
      <c r="J26" s="14" t="s">
        <v>40</v>
      </c>
      <c r="K26" s="16"/>
      <c r="L26" s="14" t="s">
        <v>122</v>
      </c>
      <c r="M26" s="14" t="s">
        <v>40</v>
      </c>
      <c r="N26" s="14" t="s">
        <v>40</v>
      </c>
      <c r="O26" s="14" t="s">
        <v>135</v>
      </c>
      <c r="P26" s="14">
        <v>81.89</v>
      </c>
      <c r="Q26" s="14">
        <v>40.56</v>
      </c>
      <c r="R26" s="14">
        <v>55.11</v>
      </c>
      <c r="S26" s="14">
        <v>1</v>
      </c>
      <c r="T26" s="14">
        <v>0</v>
      </c>
      <c r="U26" s="14" t="s">
        <v>123</v>
      </c>
      <c r="V26" s="14" t="s">
        <v>124</v>
      </c>
      <c r="W26" s="14" t="s">
        <v>85</v>
      </c>
      <c r="X26" s="14">
        <v>1</v>
      </c>
      <c r="Y26" s="14" t="s">
        <v>114</v>
      </c>
      <c r="Z26" s="17">
        <v>4.864583333333333</v>
      </c>
      <c r="AA26" s="14">
        <v>7</v>
      </c>
      <c r="AB26" s="14">
        <v>3</v>
      </c>
      <c r="AC26" s="14">
        <v>2</v>
      </c>
      <c r="AD26" s="17">
        <f>IFERROR(Z26/(AA26*AB26)*AC26*AA26,"")</f>
        <v>3.2430555555555554</v>
      </c>
      <c r="AE26" s="17">
        <f>Z26+AD26</f>
        <v>8.1076388888888893</v>
      </c>
      <c r="AF26" s="17"/>
      <c r="AG26" s="14">
        <f>AB26+AC26</f>
        <v>5</v>
      </c>
      <c r="AH26" s="18"/>
      <c r="AI26" s="19"/>
      <c r="AJ26" s="19"/>
      <c r="AK26" s="19"/>
      <c r="AL26" s="19"/>
      <c r="AM26" s="19"/>
    </row>
    <row r="27" spans="1:39" ht="15.75" customHeight="1">
      <c r="A27" s="2"/>
      <c r="B27" s="20" t="s">
        <v>136</v>
      </c>
      <c r="C27" s="14" t="s">
        <v>137</v>
      </c>
      <c r="D27" s="14" t="s">
        <v>70</v>
      </c>
      <c r="E27" s="14" t="s">
        <v>138</v>
      </c>
      <c r="F27" s="14">
        <v>28</v>
      </c>
      <c r="G27" s="15">
        <v>10.36</v>
      </c>
      <c r="H27" s="14" t="s">
        <v>36</v>
      </c>
      <c r="I27" s="14" t="s">
        <v>37</v>
      </c>
      <c r="J27" s="14" t="s">
        <v>40</v>
      </c>
      <c r="K27" s="16"/>
      <c r="L27" s="14" t="s">
        <v>39</v>
      </c>
      <c r="M27" s="14" t="s">
        <v>40</v>
      </c>
      <c r="N27" s="14" t="s">
        <v>40</v>
      </c>
      <c r="O27" s="14" t="s">
        <v>92</v>
      </c>
      <c r="P27" s="14">
        <v>70.67</v>
      </c>
      <c r="Q27" s="14">
        <v>39.979999999999997</v>
      </c>
      <c r="R27" s="14">
        <v>41.9</v>
      </c>
      <c r="S27" s="14">
        <v>2</v>
      </c>
      <c r="T27" s="14">
        <v>0</v>
      </c>
      <c r="U27" s="14" t="s">
        <v>42</v>
      </c>
      <c r="V27" s="14" t="s">
        <v>43</v>
      </c>
      <c r="W27" s="14" t="s">
        <v>44</v>
      </c>
      <c r="X27" s="14">
        <v>2</v>
      </c>
      <c r="Y27" s="14" t="s">
        <v>114</v>
      </c>
      <c r="Z27" s="17">
        <v>0.41666666666666669</v>
      </c>
      <c r="AA27" s="14">
        <v>1</v>
      </c>
      <c r="AB27" s="14">
        <v>1</v>
      </c>
      <c r="AC27" s="14">
        <v>2</v>
      </c>
      <c r="AD27" s="17">
        <f>IFERROR(Z27/(AA27*AB27)*AC27*AA27,"")</f>
        <v>0.83333333333333337</v>
      </c>
      <c r="AE27" s="17">
        <f>Z27+AD27</f>
        <v>1.25</v>
      </c>
      <c r="AF27" s="17"/>
      <c r="AG27" s="14">
        <f>AB27+AC27</f>
        <v>3</v>
      </c>
      <c r="AH27" s="18"/>
      <c r="AI27" s="19"/>
      <c r="AJ27" s="19"/>
      <c r="AK27" s="19"/>
      <c r="AL27" s="19"/>
      <c r="AM27" s="19"/>
    </row>
    <row r="28" spans="1:39" ht="15.75" customHeight="1">
      <c r="A28" s="2"/>
      <c r="B28" s="20" t="s">
        <v>139</v>
      </c>
      <c r="C28" s="14" t="s">
        <v>140</v>
      </c>
      <c r="D28" s="14" t="s">
        <v>141</v>
      </c>
      <c r="E28" s="14" t="s">
        <v>79</v>
      </c>
      <c r="F28" s="14">
        <v>24</v>
      </c>
      <c r="G28" s="15">
        <v>8.76</v>
      </c>
      <c r="H28" s="14" t="s">
        <v>58</v>
      </c>
      <c r="I28" s="14" t="s">
        <v>37</v>
      </c>
      <c r="J28" s="14" t="s">
        <v>40</v>
      </c>
      <c r="K28" s="16"/>
      <c r="L28" s="14" t="s">
        <v>39</v>
      </c>
      <c r="M28" s="14" t="s">
        <v>40</v>
      </c>
      <c r="N28" s="14" t="s">
        <v>40</v>
      </c>
      <c r="O28" s="14" t="s">
        <v>80</v>
      </c>
      <c r="P28" s="14">
        <v>67.8</v>
      </c>
      <c r="Q28" s="14">
        <v>40</v>
      </c>
      <c r="R28" s="14">
        <v>43</v>
      </c>
      <c r="S28" s="14">
        <v>2</v>
      </c>
      <c r="T28" s="14">
        <v>0</v>
      </c>
      <c r="U28" s="14" t="s">
        <v>42</v>
      </c>
      <c r="V28" s="14" t="s">
        <v>43</v>
      </c>
      <c r="W28" s="14" t="s">
        <v>44</v>
      </c>
      <c r="X28" s="14">
        <v>2</v>
      </c>
      <c r="Y28" s="14" t="s">
        <v>45</v>
      </c>
      <c r="Z28" s="17">
        <v>1.3333333333333333</v>
      </c>
      <c r="AA28" s="14">
        <v>2</v>
      </c>
      <c r="AB28" s="14">
        <v>2</v>
      </c>
      <c r="AC28" s="14">
        <v>2</v>
      </c>
      <c r="AD28" s="17">
        <f>IFERROR(Z28/(AA28*AB28)*AC28*AA28,"")</f>
        <v>1.3333333333333333</v>
      </c>
      <c r="AE28" s="17">
        <f>Z28+AD28</f>
        <v>2.6666666666666665</v>
      </c>
      <c r="AF28" s="17"/>
      <c r="AG28" s="14">
        <f>AB28+AC28</f>
        <v>4</v>
      </c>
      <c r="AH28" s="18"/>
      <c r="AI28" s="19"/>
      <c r="AJ28" s="19"/>
      <c r="AK28" s="19"/>
      <c r="AL28" s="19"/>
      <c r="AM28" s="19"/>
    </row>
    <row r="29" spans="1:39" ht="15.75" customHeight="1">
      <c r="A29" s="2"/>
      <c r="B29" s="20" t="s">
        <v>142</v>
      </c>
      <c r="C29" s="14" t="s">
        <v>143</v>
      </c>
      <c r="D29" s="14" t="s">
        <v>144</v>
      </c>
      <c r="E29" s="14" t="s">
        <v>145</v>
      </c>
      <c r="F29" s="14">
        <v>12</v>
      </c>
      <c r="G29" s="15">
        <v>4.4400000000000004</v>
      </c>
      <c r="H29" s="14" t="s">
        <v>58</v>
      </c>
      <c r="I29" s="14" t="s">
        <v>37</v>
      </c>
      <c r="J29" s="14" t="s">
        <v>38</v>
      </c>
      <c r="K29" s="16"/>
      <c r="L29" s="14" t="s">
        <v>50</v>
      </c>
      <c r="M29" s="14" t="s">
        <v>40</v>
      </c>
      <c r="N29" s="14" t="s">
        <v>40</v>
      </c>
      <c r="O29" s="14" t="s">
        <v>146</v>
      </c>
      <c r="P29" s="14">
        <v>70.67</v>
      </c>
      <c r="Q29" s="14">
        <v>39.979999999999997</v>
      </c>
      <c r="R29" s="14">
        <v>41.9</v>
      </c>
      <c r="S29" s="14">
        <v>2</v>
      </c>
      <c r="T29" s="14">
        <v>0</v>
      </c>
      <c r="U29" s="14" t="s">
        <v>42</v>
      </c>
      <c r="V29" s="14" t="s">
        <v>43</v>
      </c>
      <c r="W29" s="14" t="s">
        <v>44</v>
      </c>
      <c r="X29" s="14">
        <v>2</v>
      </c>
      <c r="Y29" s="14" t="s">
        <v>147</v>
      </c>
      <c r="Z29" s="17">
        <v>0.5625</v>
      </c>
      <c r="AA29" s="14">
        <v>1</v>
      </c>
      <c r="AB29" s="14">
        <v>2</v>
      </c>
      <c r="AC29" s="14">
        <v>2</v>
      </c>
      <c r="AD29" s="17">
        <f>IFERROR(Z29/(AA29*AB29)*AC29*AA29,"")</f>
        <v>0.5625</v>
      </c>
      <c r="AE29" s="17">
        <f>Z29+AD29</f>
        <v>1.125</v>
      </c>
      <c r="AF29" s="17"/>
      <c r="AG29" s="14">
        <f>AB29+AC29</f>
        <v>4</v>
      </c>
      <c r="AH29" s="18"/>
      <c r="AI29" s="19"/>
      <c r="AJ29" s="19"/>
      <c r="AK29" s="19"/>
      <c r="AL29" s="19"/>
      <c r="AM29" s="19"/>
    </row>
    <row r="30" spans="1:39" ht="15.75" customHeight="1">
      <c r="A30" s="2"/>
      <c r="B30" s="20" t="s">
        <v>148</v>
      </c>
      <c r="C30" s="14" t="s">
        <v>149</v>
      </c>
      <c r="D30" s="14" t="s">
        <v>56</v>
      </c>
      <c r="E30" s="16"/>
      <c r="F30" s="14">
        <v>14</v>
      </c>
      <c r="G30" s="15">
        <v>4.9000000000000004</v>
      </c>
      <c r="H30" s="14" t="s">
        <v>150</v>
      </c>
      <c r="I30" s="14" t="s">
        <v>37</v>
      </c>
      <c r="J30" s="14" t="s">
        <v>40</v>
      </c>
      <c r="K30" s="16"/>
      <c r="L30" s="14" t="s">
        <v>39</v>
      </c>
      <c r="M30" s="14" t="s">
        <v>40</v>
      </c>
      <c r="N30" s="14" t="s">
        <v>38</v>
      </c>
      <c r="O30" s="14" t="s">
        <v>41</v>
      </c>
      <c r="P30" s="14">
        <v>69.44</v>
      </c>
      <c r="Q30" s="14">
        <v>41.26</v>
      </c>
      <c r="R30" s="14">
        <v>46.5</v>
      </c>
      <c r="S30" s="14">
        <v>2</v>
      </c>
      <c r="T30" s="14">
        <v>0</v>
      </c>
      <c r="U30" s="14" t="s">
        <v>42</v>
      </c>
      <c r="V30" s="14" t="s">
        <v>43</v>
      </c>
      <c r="W30" s="14" t="s">
        <v>44</v>
      </c>
      <c r="X30" s="14">
        <v>2</v>
      </c>
      <c r="Y30" s="14" t="s">
        <v>114</v>
      </c>
      <c r="Z30" s="17">
        <v>1.3020833333333333</v>
      </c>
      <c r="AA30" s="14">
        <v>2</v>
      </c>
      <c r="AB30" s="14">
        <v>3</v>
      </c>
      <c r="AC30" s="14">
        <v>2</v>
      </c>
      <c r="AD30" s="17">
        <f>IFERROR(Z30/(AA30*AB30)*AC30*AA30,"")</f>
        <v>0.86805555555555547</v>
      </c>
      <c r="AE30" s="17">
        <f>Z30+AD30</f>
        <v>2.1701388888888888</v>
      </c>
      <c r="AF30" s="17"/>
      <c r="AG30" s="14">
        <f>AB30+AC30</f>
        <v>5</v>
      </c>
      <c r="AH30" s="18"/>
      <c r="AI30" s="19"/>
      <c r="AJ30" s="19"/>
      <c r="AK30" s="19"/>
      <c r="AL30" s="19"/>
      <c r="AM30" s="19"/>
    </row>
    <row r="31" spans="1:39" ht="15.75" customHeight="1">
      <c r="A31" s="2"/>
      <c r="B31" s="20" t="s">
        <v>151</v>
      </c>
      <c r="C31" s="14" t="s">
        <v>109</v>
      </c>
      <c r="D31" s="14" t="s">
        <v>52</v>
      </c>
      <c r="E31" s="14" t="s">
        <v>35</v>
      </c>
      <c r="F31" s="14">
        <v>22</v>
      </c>
      <c r="G31" s="15">
        <v>7.81</v>
      </c>
      <c r="H31" s="14" t="s">
        <v>58</v>
      </c>
      <c r="I31" s="14" t="s">
        <v>37</v>
      </c>
      <c r="J31" s="14" t="s">
        <v>38</v>
      </c>
      <c r="K31" s="16"/>
      <c r="L31" s="14" t="s">
        <v>39</v>
      </c>
      <c r="M31" s="14" t="s">
        <v>40</v>
      </c>
      <c r="N31" s="14" t="s">
        <v>38</v>
      </c>
      <c r="O31" s="14" t="s">
        <v>80</v>
      </c>
      <c r="P31" s="14">
        <v>68.5</v>
      </c>
      <c r="Q31" s="14">
        <v>41</v>
      </c>
      <c r="R31" s="14">
        <v>41</v>
      </c>
      <c r="S31" s="14">
        <v>3</v>
      </c>
      <c r="T31" s="14">
        <v>0</v>
      </c>
      <c r="U31" s="14" t="s">
        <v>42</v>
      </c>
      <c r="V31" s="14" t="s">
        <v>43</v>
      </c>
      <c r="W31" s="14" t="s">
        <v>44</v>
      </c>
      <c r="X31" s="14">
        <v>2</v>
      </c>
      <c r="Y31" s="14" t="s">
        <v>114</v>
      </c>
      <c r="Z31" s="17">
        <v>1.625</v>
      </c>
      <c r="AA31" s="14">
        <v>3</v>
      </c>
      <c r="AB31" s="14">
        <v>2</v>
      </c>
      <c r="AC31" s="14">
        <v>2</v>
      </c>
      <c r="AD31" s="17">
        <f>IFERROR(Z31/(AA31*AB31)*AC31*AA31,"")</f>
        <v>1.625</v>
      </c>
      <c r="AE31" s="17">
        <f>Z31+AD31</f>
        <v>3.25</v>
      </c>
      <c r="AF31" s="17"/>
      <c r="AG31" s="14">
        <f>AB31+AC31</f>
        <v>4</v>
      </c>
      <c r="AH31" s="18"/>
      <c r="AI31" s="19"/>
      <c r="AJ31" s="19"/>
      <c r="AK31" s="19"/>
      <c r="AL31" s="19"/>
      <c r="AM31" s="19"/>
    </row>
    <row r="32" spans="1:39" ht="15.75" customHeight="1">
      <c r="A32" s="2"/>
      <c r="B32" s="20" t="s">
        <v>152</v>
      </c>
      <c r="C32" s="14" t="s">
        <v>153</v>
      </c>
      <c r="D32" s="14" t="s">
        <v>154</v>
      </c>
      <c r="E32" s="14" t="s">
        <v>155</v>
      </c>
      <c r="F32" s="14">
        <v>11</v>
      </c>
      <c r="G32" s="15">
        <v>4.07</v>
      </c>
      <c r="H32" s="14" t="s">
        <v>36</v>
      </c>
      <c r="I32" s="14" t="s">
        <v>37</v>
      </c>
      <c r="J32" s="14" t="s">
        <v>40</v>
      </c>
      <c r="K32" s="16"/>
      <c r="L32" s="14" t="s">
        <v>39</v>
      </c>
      <c r="M32" s="14" t="s">
        <v>40</v>
      </c>
      <c r="N32" s="14" t="s">
        <v>38</v>
      </c>
      <c r="O32" s="14" t="s">
        <v>41</v>
      </c>
      <c r="P32" s="14">
        <v>70.67</v>
      </c>
      <c r="Q32" s="14">
        <v>39.979999999999997</v>
      </c>
      <c r="R32" s="14">
        <v>41.9</v>
      </c>
      <c r="S32" s="14">
        <v>1</v>
      </c>
      <c r="T32" s="14">
        <v>0</v>
      </c>
      <c r="U32" s="14" t="s">
        <v>42</v>
      </c>
      <c r="V32" s="14" t="s">
        <v>43</v>
      </c>
      <c r="W32" s="14" t="s">
        <v>44</v>
      </c>
      <c r="X32" s="14">
        <v>1</v>
      </c>
      <c r="Y32" s="14" t="s">
        <v>114</v>
      </c>
      <c r="Z32" s="17">
        <v>0.98958333333333337</v>
      </c>
      <c r="AA32" s="14">
        <v>2</v>
      </c>
      <c r="AB32" s="14">
        <v>2</v>
      </c>
      <c r="AC32" s="14">
        <v>2</v>
      </c>
      <c r="AD32" s="17">
        <f>IFERROR(Z32/(AA32*AB32)*AC32*AA32,"")</f>
        <v>0.98958333333333337</v>
      </c>
      <c r="AE32" s="17">
        <f>Z32+AD32</f>
        <v>1.9791666666666667</v>
      </c>
      <c r="AF32" s="17"/>
      <c r="AG32" s="14">
        <f>AB32+AC32</f>
        <v>4</v>
      </c>
      <c r="AH32" s="18"/>
      <c r="AI32" s="19"/>
      <c r="AJ32" s="19"/>
      <c r="AK32" s="19"/>
      <c r="AL32" s="19"/>
      <c r="AM32" s="19"/>
    </row>
    <row r="33" spans="1:39" ht="15.75" customHeight="1">
      <c r="A33" s="2"/>
      <c r="B33" s="20" t="s">
        <v>156</v>
      </c>
      <c r="C33" s="14" t="s">
        <v>87</v>
      </c>
      <c r="D33" s="14" t="s">
        <v>78</v>
      </c>
      <c r="E33" s="14" t="s">
        <v>35</v>
      </c>
      <c r="F33" s="14">
        <v>13</v>
      </c>
      <c r="G33" s="15">
        <v>4.29</v>
      </c>
      <c r="H33" s="14" t="s">
        <v>58</v>
      </c>
      <c r="I33" s="14" t="s">
        <v>37</v>
      </c>
      <c r="J33" s="14" t="s">
        <v>40</v>
      </c>
      <c r="K33" s="16"/>
      <c r="L33" s="14" t="s">
        <v>39</v>
      </c>
      <c r="M33" s="14" t="s">
        <v>40</v>
      </c>
      <c r="N33" s="14" t="s">
        <v>40</v>
      </c>
      <c r="O33" s="14" t="s">
        <v>41</v>
      </c>
      <c r="P33" s="14">
        <v>66.900000000000006</v>
      </c>
      <c r="Q33" s="14">
        <v>39.4</v>
      </c>
      <c r="R33" s="14">
        <v>41</v>
      </c>
      <c r="S33" s="14">
        <v>1</v>
      </c>
      <c r="T33" s="14">
        <v>0</v>
      </c>
      <c r="U33" s="14" t="s">
        <v>42</v>
      </c>
      <c r="V33" s="14" t="s">
        <v>43</v>
      </c>
      <c r="W33" s="14" t="s">
        <v>44</v>
      </c>
      <c r="X33" s="14">
        <v>1</v>
      </c>
      <c r="Y33" s="14" t="s">
        <v>114</v>
      </c>
      <c r="Z33" s="17">
        <v>0.72916666666666663</v>
      </c>
      <c r="AA33" s="14">
        <v>2</v>
      </c>
      <c r="AB33" s="14">
        <v>2</v>
      </c>
      <c r="AC33" s="14">
        <v>3</v>
      </c>
      <c r="AD33" s="17">
        <f>IFERROR(Z33/(AA33*AB33)*AC33*AA33,"")</f>
        <v>1.09375</v>
      </c>
      <c r="AE33" s="17">
        <f>Z33+AD33</f>
        <v>1.8229166666666665</v>
      </c>
      <c r="AF33" s="17"/>
      <c r="AG33" s="14">
        <f>AB33+AC33</f>
        <v>5</v>
      </c>
      <c r="AH33" s="18"/>
      <c r="AI33" s="19"/>
      <c r="AJ33" s="19"/>
      <c r="AK33" s="19"/>
      <c r="AL33" s="19"/>
      <c r="AM33" s="19"/>
    </row>
    <row r="34" spans="1:39" ht="15.75" customHeight="1">
      <c r="A34" s="2"/>
      <c r="B34" s="20" t="s">
        <v>157</v>
      </c>
      <c r="C34" s="14" t="s">
        <v>158</v>
      </c>
      <c r="D34" s="14" t="s">
        <v>159</v>
      </c>
      <c r="E34" s="14" t="s">
        <v>160</v>
      </c>
      <c r="F34" s="14">
        <v>15</v>
      </c>
      <c r="G34" s="15">
        <v>5.0999999999999996</v>
      </c>
      <c r="H34" s="14" t="s">
        <v>36</v>
      </c>
      <c r="I34" s="14" t="s">
        <v>37</v>
      </c>
      <c r="J34" s="14" t="s">
        <v>40</v>
      </c>
      <c r="K34" s="16"/>
      <c r="L34" s="14" t="s">
        <v>39</v>
      </c>
      <c r="M34" s="14" t="s">
        <v>40</v>
      </c>
      <c r="N34" s="14" t="s">
        <v>40</v>
      </c>
      <c r="O34" s="14" t="s">
        <v>41</v>
      </c>
      <c r="P34" s="14">
        <v>68.5</v>
      </c>
      <c r="Q34" s="14">
        <v>40.5</v>
      </c>
      <c r="R34" s="14">
        <v>43.9</v>
      </c>
      <c r="S34" s="14">
        <v>2</v>
      </c>
      <c r="T34" s="14">
        <v>0</v>
      </c>
      <c r="U34" s="14" t="s">
        <v>42</v>
      </c>
      <c r="V34" s="14" t="s">
        <v>43</v>
      </c>
      <c r="W34" s="14" t="s">
        <v>44</v>
      </c>
      <c r="X34" s="14">
        <v>2</v>
      </c>
      <c r="Y34" s="14" t="s">
        <v>114</v>
      </c>
      <c r="Z34" s="17">
        <v>1.0381944444444444</v>
      </c>
      <c r="AA34" s="14">
        <v>1</v>
      </c>
      <c r="AB34" s="14">
        <v>3</v>
      </c>
      <c r="AC34" s="14">
        <v>3</v>
      </c>
      <c r="AD34" s="17">
        <f>IFERROR(Z34/(AA34*AB34)*AC34*AA34,"")</f>
        <v>1.0381944444444444</v>
      </c>
      <c r="AE34" s="17">
        <f>Z34+AD34</f>
        <v>2.0763888888888888</v>
      </c>
      <c r="AF34" s="17"/>
      <c r="AG34" s="14">
        <f>AB34+AC34</f>
        <v>6</v>
      </c>
      <c r="AH34" s="18"/>
      <c r="AI34" s="19"/>
      <c r="AJ34" s="19"/>
      <c r="AK34" s="19"/>
      <c r="AL34" s="19"/>
      <c r="AM34" s="19"/>
    </row>
    <row r="35" spans="1:39" ht="15.75" customHeight="1">
      <c r="A35" s="2"/>
      <c r="B35" s="20" t="s">
        <v>161</v>
      </c>
      <c r="C35" s="14" t="s">
        <v>162</v>
      </c>
      <c r="D35" s="14" t="s">
        <v>163</v>
      </c>
      <c r="E35" s="14" t="s">
        <v>164</v>
      </c>
      <c r="F35" s="14">
        <v>16</v>
      </c>
      <c r="G35" s="15">
        <v>5.92</v>
      </c>
      <c r="H35" s="14" t="s">
        <v>58</v>
      </c>
      <c r="I35" s="14" t="s">
        <v>37</v>
      </c>
      <c r="J35" s="14" t="s">
        <v>40</v>
      </c>
      <c r="K35" s="16"/>
      <c r="L35" s="14" t="s">
        <v>39</v>
      </c>
      <c r="M35" s="14" t="s">
        <v>40</v>
      </c>
      <c r="N35" s="14" t="s">
        <v>40</v>
      </c>
      <c r="O35" s="14" t="s">
        <v>41</v>
      </c>
      <c r="P35" s="14">
        <v>70.67</v>
      </c>
      <c r="Q35" s="14">
        <v>39.979999999999997</v>
      </c>
      <c r="R35" s="14">
        <v>41.9</v>
      </c>
      <c r="S35" s="14">
        <v>2</v>
      </c>
      <c r="T35" s="14">
        <v>0</v>
      </c>
      <c r="U35" s="14" t="s">
        <v>42</v>
      </c>
      <c r="V35" s="14" t="s">
        <v>43</v>
      </c>
      <c r="W35" s="14" t="s">
        <v>44</v>
      </c>
      <c r="X35" s="14">
        <v>1</v>
      </c>
      <c r="Y35" s="14" t="s">
        <v>114</v>
      </c>
      <c r="Z35" s="17">
        <v>1.0902777777777777</v>
      </c>
      <c r="AA35" s="14">
        <v>1</v>
      </c>
      <c r="AB35" s="14">
        <v>3</v>
      </c>
      <c r="AC35" s="14">
        <v>3</v>
      </c>
      <c r="AD35" s="17">
        <f>IFERROR(Z35/(AA35*AB35)*AC35*AA35,"")</f>
        <v>1.0902777777777777</v>
      </c>
      <c r="AE35" s="17">
        <f>Z35+AD35</f>
        <v>2.1805555555555554</v>
      </c>
      <c r="AF35" s="17"/>
      <c r="AG35" s="14">
        <f>AB35+AC35</f>
        <v>6</v>
      </c>
      <c r="AH35" s="18"/>
      <c r="AI35" s="19"/>
      <c r="AJ35" s="19"/>
      <c r="AK35" s="19"/>
      <c r="AL35" s="19"/>
      <c r="AM35" s="19"/>
    </row>
    <row r="36" spans="1:39" ht="15.75" customHeight="1">
      <c r="A36" s="2"/>
      <c r="B36" s="20" t="s">
        <v>165</v>
      </c>
      <c r="C36" s="14" t="s">
        <v>166</v>
      </c>
      <c r="D36" s="14" t="s">
        <v>78</v>
      </c>
      <c r="E36" s="14" t="s">
        <v>71</v>
      </c>
      <c r="F36" s="14">
        <v>11</v>
      </c>
      <c r="G36" s="15">
        <v>4.07</v>
      </c>
      <c r="H36" s="14" t="s">
        <v>36</v>
      </c>
      <c r="I36" s="14" t="s">
        <v>37</v>
      </c>
      <c r="J36" s="14" t="s">
        <v>38</v>
      </c>
      <c r="K36" s="16"/>
      <c r="L36" s="14" t="s">
        <v>50</v>
      </c>
      <c r="M36" s="14" t="s">
        <v>38</v>
      </c>
      <c r="N36" s="14" t="s">
        <v>40</v>
      </c>
      <c r="O36" s="14" t="s">
        <v>75</v>
      </c>
      <c r="P36" s="14">
        <v>70.67</v>
      </c>
      <c r="Q36" s="14">
        <v>39.979999999999997</v>
      </c>
      <c r="R36" s="14">
        <v>41.9</v>
      </c>
      <c r="S36" s="14">
        <v>1</v>
      </c>
      <c r="T36" s="14">
        <v>18</v>
      </c>
      <c r="U36" s="14" t="s">
        <v>42</v>
      </c>
      <c r="V36" s="14" t="s">
        <v>43</v>
      </c>
      <c r="W36" s="14" t="s">
        <v>44</v>
      </c>
      <c r="X36" s="14">
        <v>1</v>
      </c>
      <c r="Y36" s="14" t="s">
        <v>114</v>
      </c>
      <c r="Z36" s="17">
        <v>1.0069444444444444</v>
      </c>
      <c r="AA36" s="14">
        <v>1</v>
      </c>
      <c r="AB36" s="14">
        <v>3</v>
      </c>
      <c r="AC36" s="14">
        <v>3</v>
      </c>
      <c r="AD36" s="17">
        <f>IFERROR(Z36/(AA36*AB36)*AC36*AA36,"")</f>
        <v>1.0069444444444444</v>
      </c>
      <c r="AE36" s="17">
        <f>Z36+AD36</f>
        <v>2.0138888888888888</v>
      </c>
      <c r="AF36" s="17"/>
      <c r="AG36" s="14">
        <f>AB36+AC36</f>
        <v>6</v>
      </c>
      <c r="AH36" s="18"/>
      <c r="AI36" s="19"/>
      <c r="AJ36" s="19"/>
      <c r="AK36" s="19"/>
      <c r="AL36" s="19"/>
      <c r="AM36" s="19"/>
    </row>
    <row r="37" spans="1:39" ht="15.75" customHeight="1">
      <c r="A37" s="2"/>
      <c r="B37" s="20" t="s">
        <v>167</v>
      </c>
      <c r="C37" s="14" t="s">
        <v>168</v>
      </c>
      <c r="D37" s="14" t="s">
        <v>169</v>
      </c>
      <c r="E37" s="14" t="s">
        <v>35</v>
      </c>
      <c r="F37" s="14">
        <v>13</v>
      </c>
      <c r="G37" s="15">
        <v>4.8099999999999996</v>
      </c>
      <c r="H37" s="14" t="s">
        <v>36</v>
      </c>
      <c r="I37" s="14" t="s">
        <v>37</v>
      </c>
      <c r="J37" s="14" t="s">
        <v>40</v>
      </c>
      <c r="K37" s="16"/>
      <c r="L37" s="14" t="s">
        <v>50</v>
      </c>
      <c r="M37" s="14" t="s">
        <v>38</v>
      </c>
      <c r="N37" s="14" t="s">
        <v>40</v>
      </c>
      <c r="O37" s="14" t="s">
        <v>59</v>
      </c>
      <c r="P37" s="14">
        <v>70.67</v>
      </c>
      <c r="Q37" s="14">
        <v>39.979999999999997</v>
      </c>
      <c r="R37" s="14">
        <v>41.9</v>
      </c>
      <c r="S37" s="14">
        <v>1</v>
      </c>
      <c r="T37" s="14">
        <v>11</v>
      </c>
      <c r="U37" s="14" t="s">
        <v>42</v>
      </c>
      <c r="V37" s="14" t="s">
        <v>43</v>
      </c>
      <c r="W37" s="14" t="s">
        <v>44</v>
      </c>
      <c r="X37" s="14">
        <v>1</v>
      </c>
      <c r="Y37" s="14" t="s">
        <v>114</v>
      </c>
      <c r="Z37" s="17">
        <v>1.2152777777777777</v>
      </c>
      <c r="AA37" s="14">
        <v>1</v>
      </c>
      <c r="AB37" s="14">
        <v>3</v>
      </c>
      <c r="AC37" s="14">
        <v>3</v>
      </c>
      <c r="AD37" s="17">
        <f>IFERROR(Z37/(AA37*AB37)*AC37*AA37,"")</f>
        <v>1.2152777777777777</v>
      </c>
      <c r="AE37" s="17">
        <f>Z37+AD37</f>
        <v>2.4305555555555554</v>
      </c>
      <c r="AF37" s="17"/>
      <c r="AG37" s="14">
        <f>AB37+AC37</f>
        <v>6</v>
      </c>
      <c r="AH37" s="18"/>
      <c r="AI37" s="19"/>
      <c r="AJ37" s="19"/>
      <c r="AK37" s="19"/>
      <c r="AL37" s="19"/>
      <c r="AM37" s="19"/>
    </row>
    <row r="38" spans="1:39" ht="15.75" customHeight="1">
      <c r="A38" s="2"/>
      <c r="B38" s="20" t="s">
        <v>170</v>
      </c>
      <c r="C38" s="14" t="s">
        <v>171</v>
      </c>
      <c r="D38" s="14" t="s">
        <v>154</v>
      </c>
      <c r="E38" s="14" t="s">
        <v>172</v>
      </c>
      <c r="F38" s="14">
        <v>23</v>
      </c>
      <c r="G38" s="15">
        <v>7.59</v>
      </c>
      <c r="H38" s="14" t="s">
        <v>36</v>
      </c>
      <c r="I38" s="14" t="s">
        <v>37</v>
      </c>
      <c r="J38" s="14" t="s">
        <v>40</v>
      </c>
      <c r="K38" s="16"/>
      <c r="L38" s="14" t="s">
        <v>39</v>
      </c>
      <c r="M38" s="14" t="s">
        <v>40</v>
      </c>
      <c r="N38" s="14" t="s">
        <v>40</v>
      </c>
      <c r="O38" s="14" t="s">
        <v>41</v>
      </c>
      <c r="P38" s="14">
        <v>66.53</v>
      </c>
      <c r="Q38" s="14">
        <v>39.21</v>
      </c>
      <c r="R38" s="14">
        <v>39.700000000000003</v>
      </c>
      <c r="S38" s="14">
        <v>1</v>
      </c>
      <c r="T38" s="14">
        <v>0</v>
      </c>
      <c r="U38" s="14" t="s">
        <v>42</v>
      </c>
      <c r="V38" s="14" t="s">
        <v>43</v>
      </c>
      <c r="W38" s="14" t="s">
        <v>44</v>
      </c>
      <c r="X38" s="14">
        <v>1</v>
      </c>
      <c r="Y38" s="14" t="s">
        <v>114</v>
      </c>
      <c r="Z38" s="17">
        <v>1.1145833333333333</v>
      </c>
      <c r="AA38" s="14">
        <v>1</v>
      </c>
      <c r="AB38" s="14">
        <v>3</v>
      </c>
      <c r="AC38" s="14">
        <v>3</v>
      </c>
      <c r="AD38" s="17">
        <f>IFERROR(Z38/(AA38*AB38)*AC38*AA38,"")</f>
        <v>1.1145833333333333</v>
      </c>
      <c r="AE38" s="17">
        <f>Z38+AD38</f>
        <v>2.2291666666666665</v>
      </c>
      <c r="AF38" s="17"/>
      <c r="AG38" s="14">
        <f>AB38+AC38</f>
        <v>6</v>
      </c>
      <c r="AH38" s="18"/>
      <c r="AI38" s="19"/>
      <c r="AJ38" s="19"/>
      <c r="AK38" s="19"/>
      <c r="AL38" s="19"/>
      <c r="AM38" s="19"/>
    </row>
    <row r="39" spans="1:39" ht="15.75" customHeight="1">
      <c r="A39" s="2"/>
      <c r="B39" s="20" t="s">
        <v>173</v>
      </c>
      <c r="C39" s="14" t="s">
        <v>33</v>
      </c>
      <c r="D39" s="14" t="s">
        <v>169</v>
      </c>
      <c r="E39" s="14" t="s">
        <v>35</v>
      </c>
      <c r="F39" s="14">
        <v>13</v>
      </c>
      <c r="G39" s="15">
        <v>4.8099999999999996</v>
      </c>
      <c r="H39" s="14" t="s">
        <v>58</v>
      </c>
      <c r="I39" s="14" t="s">
        <v>37</v>
      </c>
      <c r="J39" s="14" t="s">
        <v>38</v>
      </c>
      <c r="K39" s="16"/>
      <c r="L39" s="14" t="s">
        <v>39</v>
      </c>
      <c r="M39" s="14" t="s">
        <v>40</v>
      </c>
      <c r="N39" s="14" t="s">
        <v>38</v>
      </c>
      <c r="O39" s="14" t="s">
        <v>41</v>
      </c>
      <c r="P39" s="14">
        <v>70.67</v>
      </c>
      <c r="Q39" s="14">
        <v>39.979999999999997</v>
      </c>
      <c r="R39" s="14">
        <v>41.9</v>
      </c>
      <c r="S39" s="14">
        <v>1</v>
      </c>
      <c r="T39" s="14">
        <v>0</v>
      </c>
      <c r="U39" s="14" t="s">
        <v>42</v>
      </c>
      <c r="V39" s="14" t="s">
        <v>43</v>
      </c>
      <c r="W39" s="14" t="s">
        <v>44</v>
      </c>
      <c r="X39" s="14">
        <v>1</v>
      </c>
      <c r="Y39" s="14" t="s">
        <v>114</v>
      </c>
      <c r="Z39" s="17">
        <v>1.0520833333333333</v>
      </c>
      <c r="AA39" s="14">
        <v>1</v>
      </c>
      <c r="AB39" s="14">
        <v>3</v>
      </c>
      <c r="AC39" s="14">
        <v>3</v>
      </c>
      <c r="AD39" s="17">
        <f>IFERROR(Z39/(AA39*AB39)*AC39*AA39,"")</f>
        <v>1.0520833333333333</v>
      </c>
      <c r="AE39" s="17">
        <f>Z39+AD39</f>
        <v>2.1041666666666665</v>
      </c>
      <c r="AF39" s="17"/>
      <c r="AG39" s="14">
        <f>AB39+AC39</f>
        <v>6</v>
      </c>
      <c r="AH39" s="18"/>
      <c r="AI39" s="19"/>
      <c r="AJ39" s="19"/>
      <c r="AK39" s="19"/>
      <c r="AL39" s="19"/>
      <c r="AM39" s="19"/>
    </row>
    <row r="40" spans="1:39" ht="15.75" customHeight="1">
      <c r="A40" s="2"/>
      <c r="B40" s="20" t="s">
        <v>174</v>
      </c>
      <c r="C40" s="14" t="s">
        <v>158</v>
      </c>
      <c r="D40" s="14" t="s">
        <v>175</v>
      </c>
      <c r="E40" s="14" t="s">
        <v>176</v>
      </c>
      <c r="F40" s="14">
        <v>9</v>
      </c>
      <c r="G40" s="15">
        <v>4.05</v>
      </c>
      <c r="H40" s="14" t="s">
        <v>58</v>
      </c>
      <c r="I40" s="14" t="s">
        <v>37</v>
      </c>
      <c r="J40" s="14" t="s">
        <v>40</v>
      </c>
      <c r="K40" s="16"/>
      <c r="L40" s="14" t="s">
        <v>50</v>
      </c>
      <c r="M40" s="14" t="s">
        <v>40</v>
      </c>
      <c r="N40" s="14" t="s">
        <v>38</v>
      </c>
      <c r="O40" s="14" t="s">
        <v>53</v>
      </c>
      <c r="P40" s="14">
        <v>83.07</v>
      </c>
      <c r="Q40" s="14">
        <v>41</v>
      </c>
      <c r="R40" s="14">
        <v>50.71</v>
      </c>
      <c r="S40" s="14">
        <v>1</v>
      </c>
      <c r="T40" s="14">
        <v>0</v>
      </c>
      <c r="U40" s="14" t="s">
        <v>112</v>
      </c>
      <c r="V40" s="14" t="s">
        <v>113</v>
      </c>
      <c r="W40" s="14" t="s">
        <v>85</v>
      </c>
      <c r="X40" s="14">
        <v>1</v>
      </c>
      <c r="Y40" s="14" t="s">
        <v>147</v>
      </c>
      <c r="Z40" s="17">
        <v>2.9583333333333335</v>
      </c>
      <c r="AA40" s="14">
        <v>3</v>
      </c>
      <c r="AB40" s="14">
        <v>3</v>
      </c>
      <c r="AC40" s="14">
        <v>3</v>
      </c>
      <c r="AD40" s="17">
        <f>IFERROR(Z40/(AA40*AB40)*AC40*AA40,"")</f>
        <v>2.9583333333333335</v>
      </c>
      <c r="AE40" s="17">
        <f>Z40+AD40</f>
        <v>5.916666666666667</v>
      </c>
      <c r="AF40" s="17"/>
      <c r="AG40" s="14">
        <f>AB40+AC40</f>
        <v>6</v>
      </c>
      <c r="AH40" s="18"/>
      <c r="AI40" s="19"/>
      <c r="AJ40" s="19"/>
      <c r="AK40" s="19"/>
      <c r="AL40" s="19"/>
      <c r="AM40" s="19"/>
    </row>
    <row r="41" spans="1:39" ht="15.75" customHeight="1">
      <c r="A41" s="2"/>
      <c r="B41" s="20" t="s">
        <v>177</v>
      </c>
      <c r="C41" s="14" t="s">
        <v>171</v>
      </c>
      <c r="D41" s="14" t="s">
        <v>178</v>
      </c>
      <c r="E41" s="14" t="s">
        <v>179</v>
      </c>
      <c r="F41" s="14">
        <v>29</v>
      </c>
      <c r="G41" s="15">
        <v>10.73</v>
      </c>
      <c r="H41" s="14" t="s">
        <v>58</v>
      </c>
      <c r="I41" s="14" t="s">
        <v>37</v>
      </c>
      <c r="J41" s="14" t="s">
        <v>38</v>
      </c>
      <c r="K41" s="16"/>
      <c r="L41" s="14" t="s">
        <v>39</v>
      </c>
      <c r="M41" s="14" t="s">
        <v>40</v>
      </c>
      <c r="N41" s="14" t="s">
        <v>38</v>
      </c>
      <c r="O41" s="14" t="s">
        <v>103</v>
      </c>
      <c r="P41" s="14">
        <v>70.67</v>
      </c>
      <c r="Q41" s="14">
        <v>39.979999999999997</v>
      </c>
      <c r="R41" s="14">
        <v>41.9</v>
      </c>
      <c r="S41" s="14">
        <v>2</v>
      </c>
      <c r="T41" s="14">
        <v>0</v>
      </c>
      <c r="U41" s="14" t="s">
        <v>42</v>
      </c>
      <c r="V41" s="14" t="s">
        <v>43</v>
      </c>
      <c r="W41" s="14" t="s">
        <v>44</v>
      </c>
      <c r="X41" s="14">
        <v>2</v>
      </c>
      <c r="Y41" s="14" t="s">
        <v>114</v>
      </c>
      <c r="Z41" s="17">
        <v>1.58125</v>
      </c>
      <c r="AA41" s="14">
        <v>2</v>
      </c>
      <c r="AB41" s="14">
        <v>3</v>
      </c>
      <c r="AC41" s="14">
        <v>3</v>
      </c>
      <c r="AD41" s="17">
        <f>IFERROR(Z41/(AA41*AB41)*AC41*AA41,"")</f>
        <v>1.58125</v>
      </c>
      <c r="AE41" s="17">
        <f>Z41+AD41</f>
        <v>3.1625000000000001</v>
      </c>
      <c r="AF41" s="17"/>
      <c r="AG41" s="14">
        <f>AB41+AC41</f>
        <v>6</v>
      </c>
      <c r="AH41" s="18"/>
      <c r="AI41" s="19"/>
      <c r="AJ41" s="19"/>
      <c r="AK41" s="19"/>
      <c r="AL41" s="19"/>
      <c r="AM41" s="19"/>
    </row>
    <row r="42" spans="1:39" ht="15.75" customHeight="1">
      <c r="A42" s="2"/>
      <c r="B42" s="20" t="s">
        <v>180</v>
      </c>
      <c r="C42" s="14" t="s">
        <v>109</v>
      </c>
      <c r="D42" s="14" t="s">
        <v>78</v>
      </c>
      <c r="E42" s="14" t="s">
        <v>181</v>
      </c>
      <c r="F42" s="14">
        <v>16</v>
      </c>
      <c r="G42" s="15">
        <v>6.08</v>
      </c>
      <c r="H42" s="14" t="s">
        <v>36</v>
      </c>
      <c r="I42" s="14" t="s">
        <v>37</v>
      </c>
      <c r="J42" s="14" t="s">
        <v>40</v>
      </c>
      <c r="K42" s="16"/>
      <c r="L42" s="14" t="s">
        <v>50</v>
      </c>
      <c r="M42" s="14" t="s">
        <v>40</v>
      </c>
      <c r="N42" s="14" t="s">
        <v>38</v>
      </c>
      <c r="O42" s="14" t="s">
        <v>75</v>
      </c>
      <c r="P42" s="14">
        <v>72.400000000000006</v>
      </c>
      <c r="Q42" s="14">
        <v>40.6</v>
      </c>
      <c r="R42" s="14">
        <v>43</v>
      </c>
      <c r="S42" s="14">
        <v>2</v>
      </c>
      <c r="T42" s="14">
        <v>0</v>
      </c>
      <c r="U42" s="14" t="s">
        <v>42</v>
      </c>
      <c r="V42" s="14" t="s">
        <v>43</v>
      </c>
      <c r="W42" s="14" t="s">
        <v>44</v>
      </c>
      <c r="X42" s="14">
        <v>1</v>
      </c>
      <c r="Y42" s="14" t="s">
        <v>114</v>
      </c>
      <c r="Z42" s="17">
        <v>1.1819444444444445</v>
      </c>
      <c r="AA42" s="14">
        <v>1</v>
      </c>
      <c r="AB42" s="14">
        <v>3</v>
      </c>
      <c r="AC42" s="14">
        <v>3</v>
      </c>
      <c r="AD42" s="17">
        <f>IFERROR(Z42/(AA42*AB42)*AC42*AA42,"")</f>
        <v>1.1819444444444445</v>
      </c>
      <c r="AE42" s="17">
        <f>Z42+AD42</f>
        <v>2.3638888888888889</v>
      </c>
      <c r="AF42" s="17"/>
      <c r="AG42" s="14">
        <f>AB42+AC42</f>
        <v>6</v>
      </c>
      <c r="AH42" s="18"/>
      <c r="AI42" s="19"/>
      <c r="AJ42" s="19"/>
      <c r="AK42" s="19"/>
      <c r="AL42" s="19"/>
      <c r="AM42" s="19"/>
    </row>
    <row r="43" spans="1:39" ht="15.75" customHeight="1">
      <c r="A43" s="2"/>
      <c r="B43" s="20" t="s">
        <v>182</v>
      </c>
      <c r="C43" s="14" t="s">
        <v>183</v>
      </c>
      <c r="D43" s="16"/>
      <c r="E43" s="14" t="s">
        <v>184</v>
      </c>
      <c r="F43" s="14">
        <v>43</v>
      </c>
      <c r="G43" s="15">
        <v>15.695</v>
      </c>
      <c r="H43" s="14" t="s">
        <v>58</v>
      </c>
      <c r="I43" s="14" t="s">
        <v>37</v>
      </c>
      <c r="J43" s="14" t="s">
        <v>40</v>
      </c>
      <c r="K43" s="16"/>
      <c r="L43" s="14" t="s">
        <v>39</v>
      </c>
      <c r="M43" s="14" t="s">
        <v>40</v>
      </c>
      <c r="N43" s="14" t="s">
        <v>40</v>
      </c>
      <c r="O43" s="14" t="s">
        <v>103</v>
      </c>
      <c r="P43" s="14">
        <v>67.8</v>
      </c>
      <c r="Q43" s="14">
        <v>40</v>
      </c>
      <c r="R43" s="14">
        <v>43</v>
      </c>
      <c r="S43" s="14">
        <v>8</v>
      </c>
      <c r="T43" s="14">
        <v>0</v>
      </c>
      <c r="U43" s="14" t="s">
        <v>42</v>
      </c>
      <c r="V43" s="14" t="s">
        <v>43</v>
      </c>
      <c r="W43" s="14" t="s">
        <v>44</v>
      </c>
      <c r="X43" s="14">
        <v>2</v>
      </c>
      <c r="Y43" s="14" t="s">
        <v>114</v>
      </c>
      <c r="Z43" s="17">
        <v>3.1770833333333335</v>
      </c>
      <c r="AA43" s="14">
        <v>3</v>
      </c>
      <c r="AB43" s="14">
        <v>3</v>
      </c>
      <c r="AC43" s="14">
        <v>3</v>
      </c>
      <c r="AD43" s="17">
        <f>IFERROR(Z43/(AA43*AB43)*AC43*AA43,"")</f>
        <v>3.1770833333333339</v>
      </c>
      <c r="AE43" s="17">
        <f>Z43+AD43</f>
        <v>6.3541666666666679</v>
      </c>
      <c r="AF43" s="17"/>
      <c r="AG43" s="14">
        <f>AB43+AC43</f>
        <v>6</v>
      </c>
      <c r="AH43" s="18"/>
      <c r="AI43" s="19"/>
      <c r="AJ43" s="19"/>
      <c r="AK43" s="19"/>
      <c r="AL43" s="19"/>
      <c r="AM43" s="19"/>
    </row>
    <row r="44" spans="1:39" ht="15.75" customHeight="1">
      <c r="A44" s="2"/>
      <c r="B44" s="20" t="s">
        <v>185</v>
      </c>
      <c r="C44" s="14" t="s">
        <v>97</v>
      </c>
      <c r="D44" s="14" t="s">
        <v>169</v>
      </c>
      <c r="E44" s="14" t="s">
        <v>160</v>
      </c>
      <c r="F44" s="14">
        <v>36</v>
      </c>
      <c r="G44" s="15">
        <v>13.32</v>
      </c>
      <c r="H44" s="14" t="s">
        <v>36</v>
      </c>
      <c r="I44" s="14" t="s">
        <v>37</v>
      </c>
      <c r="J44" s="14" t="s">
        <v>40</v>
      </c>
      <c r="K44" s="16"/>
      <c r="L44" s="14" t="s">
        <v>39</v>
      </c>
      <c r="M44" s="14" t="s">
        <v>40</v>
      </c>
      <c r="N44" s="14" t="s">
        <v>40</v>
      </c>
      <c r="O44" s="14" t="s">
        <v>92</v>
      </c>
      <c r="P44" s="14">
        <v>70.67</v>
      </c>
      <c r="Q44" s="14">
        <v>39.979999999999997</v>
      </c>
      <c r="R44" s="14">
        <v>41.9</v>
      </c>
      <c r="S44" s="14">
        <v>1</v>
      </c>
      <c r="T44" s="14">
        <v>0</v>
      </c>
      <c r="U44" s="14" t="s">
        <v>42</v>
      </c>
      <c r="V44" s="14" t="s">
        <v>43</v>
      </c>
      <c r="W44" s="14" t="s">
        <v>44</v>
      </c>
      <c r="X44" s="14">
        <v>1</v>
      </c>
      <c r="Y44" s="14" t="s">
        <v>114</v>
      </c>
      <c r="Z44" s="17">
        <v>2.2875000000000001</v>
      </c>
      <c r="AA44" s="14">
        <v>3</v>
      </c>
      <c r="AB44" s="14">
        <v>3</v>
      </c>
      <c r="AC44" s="14">
        <v>3</v>
      </c>
      <c r="AD44" s="17">
        <f>IFERROR(Z44/(AA44*AB44)*AC44*AA44,"")</f>
        <v>2.2874999999999996</v>
      </c>
      <c r="AE44" s="17">
        <f>Z44+AD44</f>
        <v>4.5749999999999993</v>
      </c>
      <c r="AF44" s="17"/>
      <c r="AG44" s="14">
        <f>AB44+AC44</f>
        <v>6</v>
      </c>
      <c r="AH44" s="18"/>
      <c r="AI44" s="19"/>
      <c r="AJ44" s="19"/>
      <c r="AK44" s="19"/>
      <c r="AL44" s="19"/>
      <c r="AM44" s="19"/>
    </row>
    <row r="45" spans="1:39" ht="15.75" customHeight="1">
      <c r="A45" s="2"/>
      <c r="B45" s="20" t="s">
        <v>186</v>
      </c>
      <c r="C45" s="14" t="s">
        <v>109</v>
      </c>
      <c r="D45" s="14" t="s">
        <v>73</v>
      </c>
      <c r="E45" s="14" t="s">
        <v>187</v>
      </c>
      <c r="F45" s="14">
        <v>16</v>
      </c>
      <c r="G45" s="15">
        <v>5.28</v>
      </c>
      <c r="H45" s="14" t="s">
        <v>36</v>
      </c>
      <c r="I45" s="14" t="s">
        <v>37</v>
      </c>
      <c r="J45" s="14" t="s">
        <v>40</v>
      </c>
      <c r="K45" s="16"/>
      <c r="L45" s="14" t="s">
        <v>39</v>
      </c>
      <c r="M45" s="14" t="s">
        <v>40</v>
      </c>
      <c r="N45" s="14" t="s">
        <v>38</v>
      </c>
      <c r="O45" s="14" t="s">
        <v>75</v>
      </c>
      <c r="P45" s="14">
        <v>66.900000000000006</v>
      </c>
      <c r="Q45" s="14">
        <v>39.4</v>
      </c>
      <c r="R45" s="14">
        <v>41</v>
      </c>
      <c r="S45" s="14">
        <v>1</v>
      </c>
      <c r="T45" s="14">
        <v>0</v>
      </c>
      <c r="U45" s="14" t="s">
        <v>112</v>
      </c>
      <c r="V45" s="14" t="s">
        <v>113</v>
      </c>
      <c r="W45" s="14" t="s">
        <v>44</v>
      </c>
      <c r="X45" s="14">
        <v>1</v>
      </c>
      <c r="Y45" s="14" t="s">
        <v>114</v>
      </c>
      <c r="Z45" s="17">
        <v>0.72916666666666663</v>
      </c>
      <c r="AA45" s="14">
        <v>1</v>
      </c>
      <c r="AB45" s="14">
        <v>2</v>
      </c>
      <c r="AC45" s="14">
        <v>3</v>
      </c>
      <c r="AD45" s="17">
        <f>IFERROR(Z45/(AA45*AB45)*AC45*AA45,"")</f>
        <v>1.09375</v>
      </c>
      <c r="AE45" s="17">
        <f>Z45+AD45</f>
        <v>1.8229166666666665</v>
      </c>
      <c r="AF45" s="17"/>
      <c r="AG45" s="14">
        <f>AB45+AC45</f>
        <v>5</v>
      </c>
      <c r="AH45" s="18"/>
      <c r="AI45" s="19"/>
      <c r="AJ45" s="19"/>
      <c r="AK45" s="19"/>
      <c r="AL45" s="19"/>
      <c r="AM45" s="19"/>
    </row>
    <row r="46" spans="1:39" ht="15.75" customHeight="1">
      <c r="A46" s="2"/>
      <c r="B46" s="20" t="s">
        <v>188</v>
      </c>
      <c r="C46" s="14" t="s">
        <v>183</v>
      </c>
      <c r="D46" s="14" t="s">
        <v>189</v>
      </c>
      <c r="E46" s="14" t="s">
        <v>190</v>
      </c>
      <c r="F46" s="14">
        <v>21</v>
      </c>
      <c r="G46" s="15">
        <v>7.77</v>
      </c>
      <c r="H46" s="14" t="s">
        <v>58</v>
      </c>
      <c r="I46" s="14" t="s">
        <v>37</v>
      </c>
      <c r="J46" s="14" t="s">
        <v>38</v>
      </c>
      <c r="K46" s="16"/>
      <c r="L46" s="14" t="s">
        <v>39</v>
      </c>
      <c r="M46" s="14" t="s">
        <v>40</v>
      </c>
      <c r="N46" s="14" t="s">
        <v>40</v>
      </c>
      <c r="O46" s="14" t="s">
        <v>41</v>
      </c>
      <c r="P46" s="14">
        <v>70.67</v>
      </c>
      <c r="Q46" s="14">
        <v>39.979999999999997</v>
      </c>
      <c r="R46" s="14">
        <v>41.9</v>
      </c>
      <c r="S46" s="14">
        <v>3</v>
      </c>
      <c r="T46" s="14">
        <v>0</v>
      </c>
      <c r="U46" s="14" t="s">
        <v>42</v>
      </c>
      <c r="V46" s="14" t="s">
        <v>43</v>
      </c>
      <c r="W46" s="14" t="s">
        <v>44</v>
      </c>
      <c r="X46" s="14">
        <v>2</v>
      </c>
      <c r="Y46" s="14" t="s">
        <v>147</v>
      </c>
      <c r="Z46" s="17">
        <v>0.98958333333333337</v>
      </c>
      <c r="AA46" s="14">
        <v>2</v>
      </c>
      <c r="AB46" s="14">
        <v>3</v>
      </c>
      <c r="AC46" s="14">
        <v>3</v>
      </c>
      <c r="AD46" s="17">
        <f>IFERROR(Z46/(AA46*AB46)*AC46*AA46,"")</f>
        <v>0.98958333333333326</v>
      </c>
      <c r="AE46" s="17">
        <f>Z46+AD46</f>
        <v>1.9791666666666665</v>
      </c>
      <c r="AF46" s="17"/>
      <c r="AG46" s="14">
        <f>AB46+AC46</f>
        <v>6</v>
      </c>
      <c r="AH46" s="18"/>
      <c r="AI46" s="19"/>
      <c r="AJ46" s="19"/>
      <c r="AK46" s="19"/>
      <c r="AL46" s="19"/>
      <c r="AM46" s="19"/>
    </row>
    <row r="47" spans="1:39" ht="15.75" customHeight="1">
      <c r="A47" s="2"/>
      <c r="B47" s="20" t="s">
        <v>191</v>
      </c>
      <c r="C47" s="14" t="s">
        <v>94</v>
      </c>
      <c r="D47" s="14" t="s">
        <v>192</v>
      </c>
      <c r="E47" s="14" t="s">
        <v>193</v>
      </c>
      <c r="F47" s="14">
        <v>9</v>
      </c>
      <c r="G47" s="15">
        <v>3.33</v>
      </c>
      <c r="H47" s="14" t="s">
        <v>58</v>
      </c>
      <c r="I47" s="14" t="s">
        <v>37</v>
      </c>
      <c r="J47" s="14" t="s">
        <v>38</v>
      </c>
      <c r="K47" s="16"/>
      <c r="L47" s="14" t="s">
        <v>50</v>
      </c>
      <c r="M47" s="14" t="s">
        <v>38</v>
      </c>
      <c r="N47" s="14" t="s">
        <v>38</v>
      </c>
      <c r="O47" s="14" t="s">
        <v>75</v>
      </c>
      <c r="P47" s="14">
        <v>70.67</v>
      </c>
      <c r="Q47" s="14">
        <v>39.979999999999997</v>
      </c>
      <c r="R47" s="14">
        <v>41.9</v>
      </c>
      <c r="S47" s="14">
        <v>1</v>
      </c>
      <c r="T47" s="14">
        <v>11</v>
      </c>
      <c r="U47" s="14" t="s">
        <v>42</v>
      </c>
      <c r="V47" s="14" t="s">
        <v>43</v>
      </c>
      <c r="W47" s="14" t="s">
        <v>44</v>
      </c>
      <c r="X47" s="14">
        <v>1</v>
      </c>
      <c r="Y47" s="14" t="s">
        <v>114</v>
      </c>
      <c r="Z47" s="17">
        <v>1.3819444444444444</v>
      </c>
      <c r="AA47" s="14">
        <v>2</v>
      </c>
      <c r="AB47" s="14">
        <v>3</v>
      </c>
      <c r="AC47" s="14">
        <v>3</v>
      </c>
      <c r="AD47" s="17">
        <f>IFERROR(Z47/(AA47*AB47)*AC47*AA47,"")</f>
        <v>1.3819444444444444</v>
      </c>
      <c r="AE47" s="17">
        <f>Z47+AD47</f>
        <v>2.7638888888888888</v>
      </c>
      <c r="AF47" s="17"/>
      <c r="AG47" s="14">
        <f>AB47+AC47</f>
        <v>6</v>
      </c>
      <c r="AH47" s="18"/>
      <c r="AI47" s="19"/>
      <c r="AJ47" s="19"/>
      <c r="AK47" s="19"/>
      <c r="AL47" s="19"/>
      <c r="AM47" s="19"/>
    </row>
    <row r="48" spans="1:39" ht="15.75" customHeight="1">
      <c r="A48" s="2"/>
      <c r="B48" s="20" t="s">
        <v>194</v>
      </c>
      <c r="C48" s="14" t="s">
        <v>87</v>
      </c>
      <c r="D48" s="14" t="s">
        <v>169</v>
      </c>
      <c r="E48" s="14" t="s">
        <v>35</v>
      </c>
      <c r="F48" s="14">
        <v>54</v>
      </c>
      <c r="G48" s="15">
        <v>23.22</v>
      </c>
      <c r="H48" s="14" t="s">
        <v>58</v>
      </c>
      <c r="I48" s="14" t="s">
        <v>195</v>
      </c>
      <c r="J48" s="14" t="s">
        <v>40</v>
      </c>
      <c r="K48" s="16"/>
      <c r="L48" s="14" t="s">
        <v>196</v>
      </c>
      <c r="M48" s="14" t="s">
        <v>40</v>
      </c>
      <c r="N48" s="14" t="s">
        <v>40</v>
      </c>
      <c r="O48" s="14" t="s">
        <v>59</v>
      </c>
      <c r="P48" s="14">
        <v>81.89</v>
      </c>
      <c r="Q48" s="14">
        <v>40.56</v>
      </c>
      <c r="R48" s="14">
        <v>55.11</v>
      </c>
      <c r="S48" s="14">
        <v>2</v>
      </c>
      <c r="T48" s="14">
        <v>0</v>
      </c>
      <c r="U48" s="14" t="s">
        <v>195</v>
      </c>
      <c r="V48" s="14" t="s">
        <v>195</v>
      </c>
      <c r="W48" s="14" t="s">
        <v>44</v>
      </c>
      <c r="X48" s="14">
        <v>0</v>
      </c>
      <c r="Y48" s="14" t="s">
        <v>147</v>
      </c>
      <c r="Z48" s="17">
        <v>4.3611111111111107</v>
      </c>
      <c r="AA48" s="14">
        <v>8</v>
      </c>
      <c r="AB48" s="14">
        <v>3</v>
      </c>
      <c r="AC48" s="14">
        <v>3</v>
      </c>
      <c r="AD48" s="17">
        <f>IFERROR(Z48/(AA48*AB48)*AC48*AA48,"")</f>
        <v>4.3611111111111107</v>
      </c>
      <c r="AE48" s="17">
        <f>Z48+AD48</f>
        <v>8.7222222222222214</v>
      </c>
      <c r="AF48" s="17"/>
      <c r="AG48" s="14">
        <f>AB48+AC48</f>
        <v>6</v>
      </c>
      <c r="AH48" s="18"/>
      <c r="AI48" s="19"/>
      <c r="AJ48" s="19"/>
      <c r="AK48" s="19"/>
      <c r="AL48" s="19"/>
      <c r="AM48" s="19"/>
    </row>
    <row r="49" spans="1:39" ht="15.75" customHeight="1">
      <c r="A49" s="2"/>
      <c r="B49" s="20" t="s">
        <v>197</v>
      </c>
      <c r="C49" s="14" t="s">
        <v>198</v>
      </c>
      <c r="D49" s="14" t="s">
        <v>199</v>
      </c>
      <c r="E49" s="14" t="s">
        <v>71</v>
      </c>
      <c r="F49" s="14">
        <v>14</v>
      </c>
      <c r="G49" s="15">
        <v>5.18</v>
      </c>
      <c r="H49" s="14" t="s">
        <v>36</v>
      </c>
      <c r="I49" s="14" t="s">
        <v>37</v>
      </c>
      <c r="J49" s="14" t="s">
        <v>38</v>
      </c>
      <c r="K49" s="16"/>
      <c r="L49" s="14" t="s">
        <v>39</v>
      </c>
      <c r="M49" s="14" t="s">
        <v>40</v>
      </c>
      <c r="N49" s="14" t="s">
        <v>40</v>
      </c>
      <c r="O49" s="14" t="s">
        <v>41</v>
      </c>
      <c r="P49" s="14">
        <v>70.67</v>
      </c>
      <c r="Q49" s="14">
        <v>39.979999999999997</v>
      </c>
      <c r="R49" s="14">
        <v>41.9</v>
      </c>
      <c r="S49" s="14">
        <v>1</v>
      </c>
      <c r="T49" s="14">
        <v>0</v>
      </c>
      <c r="U49" s="14" t="s">
        <v>42</v>
      </c>
      <c r="V49" s="14" t="s">
        <v>43</v>
      </c>
      <c r="W49" s="14" t="s">
        <v>44</v>
      </c>
      <c r="X49" s="14">
        <v>1</v>
      </c>
      <c r="Y49" s="14" t="s">
        <v>147</v>
      </c>
      <c r="Z49" s="17">
        <v>0.5625</v>
      </c>
      <c r="AA49" s="14">
        <v>2</v>
      </c>
      <c r="AB49" s="14">
        <v>1</v>
      </c>
      <c r="AC49" s="14">
        <v>3</v>
      </c>
      <c r="AD49" s="17">
        <f>IFERROR(Z49/(AA49*AB49)*AC49*AA49,"")</f>
        <v>1.6875</v>
      </c>
      <c r="AE49" s="17">
        <f>Z49+AD49</f>
        <v>2.25</v>
      </c>
      <c r="AF49" s="17"/>
      <c r="AG49" s="14">
        <f>AB49+AC49</f>
        <v>4</v>
      </c>
      <c r="AH49" s="18"/>
      <c r="AI49" s="19"/>
      <c r="AJ49" s="19"/>
      <c r="AK49" s="19"/>
      <c r="AL49" s="19"/>
      <c r="AM49" s="19"/>
    </row>
    <row r="50" spans="1:39" ht="15.75" customHeight="1">
      <c r="A50" s="2"/>
      <c r="B50" s="20" t="s">
        <v>200</v>
      </c>
      <c r="C50" s="14" t="s">
        <v>201</v>
      </c>
      <c r="D50" s="14" t="s">
        <v>154</v>
      </c>
      <c r="E50" s="14" t="s">
        <v>35</v>
      </c>
      <c r="F50" s="14">
        <v>20</v>
      </c>
      <c r="G50" s="15">
        <v>7.4</v>
      </c>
      <c r="H50" s="14" t="s">
        <v>58</v>
      </c>
      <c r="I50" s="14" t="s">
        <v>37</v>
      </c>
      <c r="J50" s="14" t="s">
        <v>40</v>
      </c>
      <c r="K50" s="16"/>
      <c r="L50" s="14" t="s">
        <v>39</v>
      </c>
      <c r="M50" s="14" t="s">
        <v>40</v>
      </c>
      <c r="N50" s="14" t="s">
        <v>40</v>
      </c>
      <c r="O50" s="14" t="s">
        <v>53</v>
      </c>
      <c r="P50" s="14">
        <v>70.67</v>
      </c>
      <c r="Q50" s="14">
        <v>39.979999999999997</v>
      </c>
      <c r="R50" s="14">
        <v>41.9</v>
      </c>
      <c r="S50" s="14">
        <v>1</v>
      </c>
      <c r="T50" s="14">
        <v>0</v>
      </c>
      <c r="U50" s="14" t="s">
        <v>42</v>
      </c>
      <c r="V50" s="14" t="s">
        <v>43</v>
      </c>
      <c r="W50" s="14" t="s">
        <v>44</v>
      </c>
      <c r="X50" s="14">
        <v>2</v>
      </c>
      <c r="Y50" s="14" t="s">
        <v>147</v>
      </c>
      <c r="Z50" s="17">
        <v>1.7291666666666667</v>
      </c>
      <c r="AA50" s="14">
        <v>3</v>
      </c>
      <c r="AB50" s="14">
        <v>2</v>
      </c>
      <c r="AC50" s="14">
        <v>3</v>
      </c>
      <c r="AD50" s="17">
        <f>IFERROR(Z50/(AA50*AB50)*AC50*AA50,"")</f>
        <v>2.5937500000000004</v>
      </c>
      <c r="AE50" s="17">
        <f>Z50+AD50</f>
        <v>4.322916666666667</v>
      </c>
      <c r="AF50" s="17"/>
      <c r="AG50" s="14">
        <f>AB50+AC50</f>
        <v>5</v>
      </c>
      <c r="AH50" s="18"/>
      <c r="AI50" s="19"/>
      <c r="AJ50" s="19"/>
      <c r="AK50" s="19"/>
      <c r="AL50" s="19"/>
      <c r="AM50" s="19"/>
    </row>
    <row r="51" spans="1:39" ht="15.75" customHeight="1">
      <c r="A51" s="2"/>
      <c r="B51" s="20" t="s">
        <v>202</v>
      </c>
      <c r="C51" s="14" t="s">
        <v>203</v>
      </c>
      <c r="D51" s="14" t="s">
        <v>169</v>
      </c>
      <c r="E51" s="14" t="s">
        <v>35</v>
      </c>
      <c r="F51" s="14">
        <v>48</v>
      </c>
      <c r="G51" s="15">
        <v>17.760000000000002</v>
      </c>
      <c r="H51" s="14" t="s">
        <v>36</v>
      </c>
      <c r="I51" s="14" t="s">
        <v>195</v>
      </c>
      <c r="J51" s="14" t="s">
        <v>40</v>
      </c>
      <c r="K51" s="16"/>
      <c r="L51" s="14" t="s">
        <v>196</v>
      </c>
      <c r="M51" s="14" t="s">
        <v>40</v>
      </c>
      <c r="N51" s="14" t="s">
        <v>40</v>
      </c>
      <c r="O51" s="14" t="s">
        <v>92</v>
      </c>
      <c r="P51" s="14">
        <v>70.67</v>
      </c>
      <c r="Q51" s="14">
        <v>39.979999999999997</v>
      </c>
      <c r="R51" s="14">
        <v>41.9</v>
      </c>
      <c r="S51" s="14">
        <v>2</v>
      </c>
      <c r="T51" s="14">
        <v>0</v>
      </c>
      <c r="U51" s="14" t="s">
        <v>195</v>
      </c>
      <c r="V51" s="14" t="s">
        <v>195</v>
      </c>
      <c r="W51" s="14" t="s">
        <v>44</v>
      </c>
      <c r="X51" s="14">
        <v>0</v>
      </c>
      <c r="Y51" s="14" t="s">
        <v>147</v>
      </c>
      <c r="Z51" s="17">
        <v>5.375</v>
      </c>
      <c r="AA51" s="14">
        <v>7</v>
      </c>
      <c r="AB51" s="14">
        <v>3</v>
      </c>
      <c r="AC51" s="14">
        <v>3</v>
      </c>
      <c r="AD51" s="17">
        <f>IFERROR(Z51/(AA51*AB51)*AC51*AA51,"")</f>
        <v>5.375</v>
      </c>
      <c r="AE51" s="17">
        <f>Z51+AD51</f>
        <v>10.75</v>
      </c>
      <c r="AF51" s="17"/>
      <c r="AG51" s="14">
        <f>AB51+AC51</f>
        <v>6</v>
      </c>
      <c r="AH51" s="18"/>
      <c r="AI51" s="19"/>
      <c r="AJ51" s="19"/>
      <c r="AK51" s="19"/>
      <c r="AL51" s="19"/>
      <c r="AM51" s="19"/>
    </row>
    <row r="52" spans="1:39" ht="15.75" customHeight="1">
      <c r="A52" s="2"/>
      <c r="B52" s="20" t="s">
        <v>204</v>
      </c>
      <c r="C52" s="14" t="s">
        <v>205</v>
      </c>
      <c r="D52" s="14" t="s">
        <v>52</v>
      </c>
      <c r="E52" s="14" t="s">
        <v>206</v>
      </c>
      <c r="F52" s="14">
        <v>19</v>
      </c>
      <c r="G52" s="15">
        <v>7.03</v>
      </c>
      <c r="H52" s="14" t="s">
        <v>58</v>
      </c>
      <c r="I52" s="14" t="s">
        <v>37</v>
      </c>
      <c r="J52" s="14" t="s">
        <v>40</v>
      </c>
      <c r="K52" s="16"/>
      <c r="L52" s="14" t="s">
        <v>39</v>
      </c>
      <c r="M52" s="14" t="s">
        <v>40</v>
      </c>
      <c r="N52" s="14" t="s">
        <v>38</v>
      </c>
      <c r="O52" s="14" t="s">
        <v>80</v>
      </c>
      <c r="P52" s="14">
        <v>70.67</v>
      </c>
      <c r="Q52" s="14">
        <v>39.979999999999997</v>
      </c>
      <c r="R52" s="14">
        <v>41.9</v>
      </c>
      <c r="S52" s="14">
        <v>2</v>
      </c>
      <c r="T52" s="14">
        <v>0</v>
      </c>
      <c r="U52" s="14" t="s">
        <v>42</v>
      </c>
      <c r="V52" s="14" t="s">
        <v>43</v>
      </c>
      <c r="W52" s="14" t="s">
        <v>44</v>
      </c>
      <c r="X52" s="14">
        <v>2</v>
      </c>
      <c r="Y52" s="14" t="s">
        <v>147</v>
      </c>
      <c r="Z52" s="17">
        <v>1.0208333333333333</v>
      </c>
      <c r="AA52" s="14">
        <v>1</v>
      </c>
      <c r="AB52" s="14">
        <v>3</v>
      </c>
      <c r="AC52" s="14">
        <v>3</v>
      </c>
      <c r="AD52" s="17">
        <f>IFERROR(Z52/(AA52*AB52)*AC52*AA52,"")</f>
        <v>1.0208333333333333</v>
      </c>
      <c r="AE52" s="17">
        <f>Z52+AD52</f>
        <v>2.0416666666666665</v>
      </c>
      <c r="AF52" s="17"/>
      <c r="AG52" s="14">
        <f>AB52+AC52</f>
        <v>6</v>
      </c>
      <c r="AH52" s="18"/>
      <c r="AI52" s="19"/>
      <c r="AJ52" s="19"/>
      <c r="AK52" s="19"/>
      <c r="AL52" s="19"/>
      <c r="AM52" s="19"/>
    </row>
    <row r="53" spans="1:39" ht="15.75" customHeight="1">
      <c r="A53" s="2"/>
      <c r="B53" s="20" t="s">
        <v>207</v>
      </c>
      <c r="C53" s="14" t="s">
        <v>87</v>
      </c>
      <c r="D53" s="14" t="s">
        <v>52</v>
      </c>
      <c r="E53" s="14" t="s">
        <v>79</v>
      </c>
      <c r="F53" s="14">
        <v>31</v>
      </c>
      <c r="G53" s="15">
        <v>11.625</v>
      </c>
      <c r="H53" s="14" t="s">
        <v>36</v>
      </c>
      <c r="I53" s="14" t="s">
        <v>37</v>
      </c>
      <c r="J53" s="14" t="s">
        <v>40</v>
      </c>
      <c r="K53" s="16"/>
      <c r="L53" s="14" t="s">
        <v>39</v>
      </c>
      <c r="M53" s="14" t="s">
        <v>40</v>
      </c>
      <c r="N53" s="14" t="s">
        <v>40</v>
      </c>
      <c r="O53" s="14" t="s">
        <v>41</v>
      </c>
      <c r="P53" s="14">
        <v>67.8</v>
      </c>
      <c r="Q53" s="14">
        <v>40</v>
      </c>
      <c r="R53" s="14">
        <v>43</v>
      </c>
      <c r="S53" s="14">
        <v>3</v>
      </c>
      <c r="T53" s="14">
        <v>0</v>
      </c>
      <c r="U53" s="14" t="s">
        <v>42</v>
      </c>
      <c r="V53" s="14" t="s">
        <v>43</v>
      </c>
      <c r="W53" s="14" t="s">
        <v>62</v>
      </c>
      <c r="X53" s="14">
        <v>2</v>
      </c>
      <c r="Y53" s="14" t="s">
        <v>147</v>
      </c>
      <c r="Z53" s="17">
        <v>0.81874999999999998</v>
      </c>
      <c r="AA53" s="14">
        <v>1</v>
      </c>
      <c r="AB53" s="14">
        <v>2</v>
      </c>
      <c r="AC53" s="14">
        <v>3</v>
      </c>
      <c r="AD53" s="17">
        <f>IFERROR(Z53/(AA53*AB53)*AC53*AA53,"")</f>
        <v>1.2281249999999999</v>
      </c>
      <c r="AE53" s="17">
        <f>Z53+AD53</f>
        <v>2.046875</v>
      </c>
      <c r="AF53" s="17"/>
      <c r="AG53" s="14">
        <f>AB53+AC53</f>
        <v>5</v>
      </c>
      <c r="AH53" s="18"/>
      <c r="AI53" s="19"/>
      <c r="AJ53" s="19"/>
      <c r="AK53" s="19"/>
      <c r="AL53" s="19"/>
      <c r="AM53" s="19"/>
    </row>
    <row r="54" spans="1:39" ht="15.75" customHeight="1">
      <c r="A54" s="2"/>
      <c r="B54" s="20" t="s">
        <v>208</v>
      </c>
      <c r="C54" s="14" t="s">
        <v>109</v>
      </c>
      <c r="D54" s="14" t="s">
        <v>56</v>
      </c>
      <c r="E54" s="14" t="s">
        <v>209</v>
      </c>
      <c r="F54" s="14">
        <v>12</v>
      </c>
      <c r="G54" s="15">
        <v>4.38</v>
      </c>
      <c r="H54" s="14" t="s">
        <v>58</v>
      </c>
      <c r="I54" s="14" t="s">
        <v>37</v>
      </c>
      <c r="J54" s="14" t="s">
        <v>38</v>
      </c>
      <c r="K54" s="16"/>
      <c r="L54" s="14" t="s">
        <v>39</v>
      </c>
      <c r="M54" s="14" t="s">
        <v>40</v>
      </c>
      <c r="N54" s="14" t="s">
        <v>38</v>
      </c>
      <c r="O54" s="14" t="s">
        <v>41</v>
      </c>
      <c r="P54" s="14">
        <v>67.8</v>
      </c>
      <c r="Q54" s="14">
        <v>40</v>
      </c>
      <c r="R54" s="14">
        <v>43</v>
      </c>
      <c r="S54" s="14">
        <v>1</v>
      </c>
      <c r="T54" s="14">
        <v>0</v>
      </c>
      <c r="U54" s="14" t="s">
        <v>42</v>
      </c>
      <c r="V54" s="14" t="s">
        <v>43</v>
      </c>
      <c r="W54" s="14" t="s">
        <v>44</v>
      </c>
      <c r="X54" s="14">
        <v>1</v>
      </c>
      <c r="Y54" s="14" t="s">
        <v>147</v>
      </c>
      <c r="Z54" s="17">
        <v>0.69444444444444442</v>
      </c>
      <c r="AA54" s="14">
        <v>1</v>
      </c>
      <c r="AB54" s="14">
        <v>2</v>
      </c>
      <c r="AC54" s="14">
        <v>3</v>
      </c>
      <c r="AD54" s="17">
        <f>IFERROR(Z54/(AA54*AB54)*AC54*AA54,"")</f>
        <v>1.0416666666666665</v>
      </c>
      <c r="AE54" s="17">
        <f>Z54+AD54</f>
        <v>1.7361111111111109</v>
      </c>
      <c r="AF54" s="17"/>
      <c r="AG54" s="14">
        <f>AB54+AC54</f>
        <v>5</v>
      </c>
      <c r="AH54" s="18"/>
      <c r="AI54" s="19"/>
      <c r="AJ54" s="19"/>
      <c r="AK54" s="19"/>
      <c r="AL54" s="19"/>
      <c r="AM54" s="19"/>
    </row>
    <row r="55" spans="1:39" ht="15.75" customHeight="1">
      <c r="A55" s="2"/>
      <c r="B55" s="20" t="s">
        <v>210</v>
      </c>
      <c r="C55" s="14" t="s">
        <v>168</v>
      </c>
      <c r="D55" s="14" t="s">
        <v>211</v>
      </c>
      <c r="E55" s="14" t="s">
        <v>35</v>
      </c>
      <c r="F55" s="14">
        <v>14</v>
      </c>
      <c r="G55" s="15">
        <v>4.97</v>
      </c>
      <c r="H55" s="14" t="s">
        <v>58</v>
      </c>
      <c r="I55" s="14" t="s">
        <v>37</v>
      </c>
      <c r="J55" s="14" t="s">
        <v>38</v>
      </c>
      <c r="K55" s="16"/>
      <c r="L55" s="14" t="s">
        <v>39</v>
      </c>
      <c r="M55" s="14" t="s">
        <v>40</v>
      </c>
      <c r="N55" s="14" t="s">
        <v>40</v>
      </c>
      <c r="O55" s="14" t="s">
        <v>59</v>
      </c>
      <c r="P55" s="14">
        <v>67.8</v>
      </c>
      <c r="Q55" s="14">
        <v>40</v>
      </c>
      <c r="R55" s="14">
        <v>43</v>
      </c>
      <c r="S55" s="14">
        <v>2</v>
      </c>
      <c r="T55" s="14">
        <v>0</v>
      </c>
      <c r="U55" s="14" t="s">
        <v>42</v>
      </c>
      <c r="V55" s="14" t="s">
        <v>43</v>
      </c>
      <c r="W55" s="14" t="s">
        <v>62</v>
      </c>
      <c r="X55" s="14">
        <v>2</v>
      </c>
      <c r="Y55" s="14" t="s">
        <v>147</v>
      </c>
      <c r="Z55" s="17">
        <v>0.71527777777777779</v>
      </c>
      <c r="AA55" s="14">
        <v>1</v>
      </c>
      <c r="AB55" s="14">
        <v>2</v>
      </c>
      <c r="AC55" s="14">
        <v>3</v>
      </c>
      <c r="AD55" s="17">
        <f>IFERROR(Z55/(AA55*AB55)*AC55*AA55,"")</f>
        <v>1.0729166666666667</v>
      </c>
      <c r="AE55" s="17">
        <f>Z55+AD55</f>
        <v>1.7881944444444446</v>
      </c>
      <c r="AF55" s="17"/>
      <c r="AG55" s="14">
        <f>AB55+AC55</f>
        <v>5</v>
      </c>
      <c r="AH55" s="18"/>
      <c r="AI55" s="19"/>
      <c r="AJ55" s="19"/>
      <c r="AK55" s="19"/>
      <c r="AL55" s="19"/>
      <c r="AM55" s="19"/>
    </row>
    <row r="56" spans="1:39" ht="15.75" customHeight="1">
      <c r="A56" s="2"/>
      <c r="B56" s="20" t="s">
        <v>212</v>
      </c>
      <c r="C56" s="14" t="s">
        <v>213</v>
      </c>
      <c r="D56" s="14" t="s">
        <v>214</v>
      </c>
      <c r="E56" s="14" t="s">
        <v>35</v>
      </c>
      <c r="F56" s="14">
        <v>14</v>
      </c>
      <c r="G56" s="15">
        <v>5.18</v>
      </c>
      <c r="H56" s="14" t="s">
        <v>36</v>
      </c>
      <c r="I56" s="14" t="s">
        <v>37</v>
      </c>
      <c r="J56" s="14" t="s">
        <v>40</v>
      </c>
      <c r="K56" s="16"/>
      <c r="L56" s="14" t="s">
        <v>39</v>
      </c>
      <c r="M56" s="14" t="s">
        <v>40</v>
      </c>
      <c r="N56" s="14" t="s">
        <v>40</v>
      </c>
      <c r="O56" s="14" t="s">
        <v>92</v>
      </c>
      <c r="P56" s="14">
        <v>70.67</v>
      </c>
      <c r="Q56" s="14">
        <v>39.979999999999997</v>
      </c>
      <c r="R56" s="14">
        <v>41.9</v>
      </c>
      <c r="S56" s="14">
        <v>1</v>
      </c>
      <c r="T56" s="14">
        <v>0</v>
      </c>
      <c r="U56" s="14" t="s">
        <v>42</v>
      </c>
      <c r="V56" s="14" t="s">
        <v>43</v>
      </c>
      <c r="W56" s="14" t="s">
        <v>44</v>
      </c>
      <c r="X56" s="14">
        <v>1</v>
      </c>
      <c r="Y56" s="14" t="s">
        <v>147</v>
      </c>
      <c r="Z56" s="17">
        <v>0.64583333333333337</v>
      </c>
      <c r="AA56" s="14">
        <v>1</v>
      </c>
      <c r="AB56" s="14">
        <v>2</v>
      </c>
      <c r="AC56" s="14">
        <v>3</v>
      </c>
      <c r="AD56" s="17">
        <f>IFERROR(Z56/(AA56*AB56)*AC56*AA56,"")</f>
        <v>0.96875</v>
      </c>
      <c r="AE56" s="17">
        <f>Z56+AD56</f>
        <v>1.6145833333333335</v>
      </c>
      <c r="AF56" s="17"/>
      <c r="AG56" s="14">
        <f>AB56+AC56</f>
        <v>5</v>
      </c>
      <c r="AH56" s="18"/>
      <c r="AI56" s="19"/>
      <c r="AJ56" s="19"/>
      <c r="AK56" s="19"/>
      <c r="AL56" s="19"/>
      <c r="AM56" s="19"/>
    </row>
    <row r="57" spans="1:39" ht="15.75" customHeight="1">
      <c r="A57" s="2"/>
      <c r="B57" s="20" t="s">
        <v>215</v>
      </c>
      <c r="C57" s="14" t="s">
        <v>201</v>
      </c>
      <c r="D57" s="14" t="s">
        <v>169</v>
      </c>
      <c r="E57" s="14" t="s">
        <v>35</v>
      </c>
      <c r="F57" s="14">
        <v>28</v>
      </c>
      <c r="G57" s="15">
        <v>12.6</v>
      </c>
      <c r="H57" s="14" t="s">
        <v>36</v>
      </c>
      <c r="I57" s="14" t="s">
        <v>195</v>
      </c>
      <c r="J57" s="14" t="s">
        <v>40</v>
      </c>
      <c r="K57" s="16"/>
      <c r="L57" s="14" t="s">
        <v>196</v>
      </c>
      <c r="M57" s="14" t="s">
        <v>40</v>
      </c>
      <c r="N57" s="14" t="s">
        <v>40</v>
      </c>
      <c r="O57" s="14" t="s">
        <v>146</v>
      </c>
      <c r="P57" s="14">
        <v>82.79</v>
      </c>
      <c r="Q57" s="14">
        <v>40.94</v>
      </c>
      <c r="R57" s="14">
        <v>55.12</v>
      </c>
      <c r="S57" s="14">
        <v>1</v>
      </c>
      <c r="T57" s="14">
        <v>0</v>
      </c>
      <c r="U57" s="14" t="s">
        <v>195</v>
      </c>
      <c r="V57" s="14" t="s">
        <v>195</v>
      </c>
      <c r="W57" s="14" t="s">
        <v>44</v>
      </c>
      <c r="X57" s="14">
        <v>0</v>
      </c>
      <c r="Y57" s="14" t="s">
        <v>147</v>
      </c>
      <c r="Z57" s="17">
        <v>2.6666666666666665</v>
      </c>
      <c r="AA57" s="14">
        <v>3</v>
      </c>
      <c r="AB57" s="14">
        <v>3</v>
      </c>
      <c r="AC57" s="14">
        <v>3</v>
      </c>
      <c r="AD57" s="17">
        <f>IFERROR(Z57/(AA57*AB57)*AC57*AA57,"")</f>
        <v>2.6666666666666665</v>
      </c>
      <c r="AE57" s="17">
        <f>Z57+AD57</f>
        <v>5.333333333333333</v>
      </c>
      <c r="AF57" s="17"/>
      <c r="AG57" s="14">
        <f>AB57+AC57</f>
        <v>6</v>
      </c>
      <c r="AH57" s="18"/>
      <c r="AI57" s="19"/>
      <c r="AJ57" s="19"/>
      <c r="AK57" s="19"/>
      <c r="AL57" s="19"/>
      <c r="AM57" s="19"/>
    </row>
    <row r="58" spans="1:39" ht="15.75" customHeight="1">
      <c r="A58" s="2"/>
      <c r="B58" s="20" t="s">
        <v>216</v>
      </c>
      <c r="C58" s="14" t="s">
        <v>162</v>
      </c>
      <c r="D58" s="14" t="s">
        <v>105</v>
      </c>
      <c r="E58" s="14" t="s">
        <v>111</v>
      </c>
      <c r="F58" s="14">
        <v>17</v>
      </c>
      <c r="G58" s="15">
        <v>6.46</v>
      </c>
      <c r="H58" s="14" t="s">
        <v>58</v>
      </c>
      <c r="I58" s="14" t="s">
        <v>37</v>
      </c>
      <c r="J58" s="14" t="s">
        <v>40</v>
      </c>
      <c r="K58" s="16"/>
      <c r="L58" s="14" t="s">
        <v>39</v>
      </c>
      <c r="M58" s="14" t="s">
        <v>40</v>
      </c>
      <c r="N58" s="14" t="s">
        <v>38</v>
      </c>
      <c r="O58" s="14" t="s">
        <v>80</v>
      </c>
      <c r="P58" s="14">
        <v>70.67</v>
      </c>
      <c r="Q58" s="14">
        <v>39.979999999999997</v>
      </c>
      <c r="R58" s="14">
        <v>41.9</v>
      </c>
      <c r="S58" s="14">
        <v>1</v>
      </c>
      <c r="T58" s="14">
        <v>0</v>
      </c>
      <c r="U58" s="14" t="s">
        <v>42</v>
      </c>
      <c r="V58" s="14" t="s">
        <v>43</v>
      </c>
      <c r="W58" s="14" t="s">
        <v>44</v>
      </c>
      <c r="X58" s="14">
        <v>1</v>
      </c>
      <c r="Y58" s="14" t="s">
        <v>147</v>
      </c>
      <c r="Z58" s="17">
        <v>0.96875</v>
      </c>
      <c r="AA58" s="14">
        <v>1</v>
      </c>
      <c r="AB58" s="14">
        <v>3</v>
      </c>
      <c r="AC58" s="14">
        <v>3</v>
      </c>
      <c r="AD58" s="17">
        <f>IFERROR(Z58/(AA58*AB58)*AC58*AA58,"")</f>
        <v>0.96875</v>
      </c>
      <c r="AE58" s="17">
        <f>Z58+AD58</f>
        <v>1.9375</v>
      </c>
      <c r="AF58" s="17"/>
      <c r="AG58" s="14">
        <f>AB58+AC58</f>
        <v>6</v>
      </c>
      <c r="AH58" s="18"/>
      <c r="AI58" s="19"/>
      <c r="AJ58" s="19"/>
      <c r="AK58" s="19"/>
      <c r="AL58" s="19"/>
      <c r="AM58" s="19"/>
    </row>
    <row r="59" spans="1:39" ht="15.75" customHeight="1">
      <c r="A59" s="2"/>
      <c r="B59" s="20" t="s">
        <v>217</v>
      </c>
      <c r="C59" s="14" t="s">
        <v>162</v>
      </c>
      <c r="D59" s="14" t="s">
        <v>52</v>
      </c>
      <c r="E59" s="14" t="s">
        <v>193</v>
      </c>
      <c r="F59" s="14">
        <v>16</v>
      </c>
      <c r="G59" s="15">
        <v>5.92</v>
      </c>
      <c r="H59" s="14" t="s">
        <v>58</v>
      </c>
      <c r="I59" s="14" t="s">
        <v>37</v>
      </c>
      <c r="J59" s="14" t="s">
        <v>38</v>
      </c>
      <c r="K59" s="16"/>
      <c r="L59" s="14" t="s">
        <v>39</v>
      </c>
      <c r="M59" s="14" t="s">
        <v>40</v>
      </c>
      <c r="N59" s="14" t="s">
        <v>40</v>
      </c>
      <c r="O59" s="14" t="s">
        <v>41</v>
      </c>
      <c r="P59" s="14">
        <v>70.67</v>
      </c>
      <c r="Q59" s="14">
        <v>39.979999999999997</v>
      </c>
      <c r="R59" s="14">
        <v>41.9</v>
      </c>
      <c r="S59" s="14">
        <v>1</v>
      </c>
      <c r="T59" s="14">
        <v>0</v>
      </c>
      <c r="U59" s="14" t="s">
        <v>42</v>
      </c>
      <c r="V59" s="14" t="s">
        <v>43</v>
      </c>
      <c r="W59" s="14" t="s">
        <v>44</v>
      </c>
      <c r="X59" s="14">
        <v>2</v>
      </c>
      <c r="Y59" s="14" t="s">
        <v>147</v>
      </c>
      <c r="Z59" s="17">
        <v>0.9375</v>
      </c>
      <c r="AA59" s="14">
        <v>1</v>
      </c>
      <c r="AB59" s="14">
        <v>3</v>
      </c>
      <c r="AC59" s="14">
        <v>3</v>
      </c>
      <c r="AD59" s="17">
        <f>IFERROR(Z59/(AA59*AB59)*AC59*AA59,"")</f>
        <v>0.9375</v>
      </c>
      <c r="AE59" s="17">
        <f>Z59+AD59</f>
        <v>1.875</v>
      </c>
      <c r="AF59" s="17"/>
      <c r="AG59" s="14">
        <f>AB59+AC59</f>
        <v>6</v>
      </c>
      <c r="AH59" s="18"/>
      <c r="AI59" s="19"/>
      <c r="AJ59" s="19"/>
      <c r="AK59" s="19"/>
      <c r="AL59" s="19"/>
      <c r="AM59" s="19"/>
    </row>
    <row r="60" spans="1:39" ht="15.75" customHeight="1">
      <c r="A60" s="2"/>
      <c r="B60" s="20" t="s">
        <v>218</v>
      </c>
      <c r="C60" s="14" t="s">
        <v>183</v>
      </c>
      <c r="D60" s="14" t="s">
        <v>175</v>
      </c>
      <c r="E60" s="14" t="s">
        <v>35</v>
      </c>
      <c r="F60" s="14">
        <v>18</v>
      </c>
      <c r="G60" s="15">
        <v>6.66</v>
      </c>
      <c r="H60" s="14" t="s">
        <v>58</v>
      </c>
      <c r="I60" s="14" t="s">
        <v>37</v>
      </c>
      <c r="J60" s="14" t="s">
        <v>40</v>
      </c>
      <c r="K60" s="16"/>
      <c r="L60" s="14" t="s">
        <v>50</v>
      </c>
      <c r="M60" s="14" t="s">
        <v>38</v>
      </c>
      <c r="N60" s="14" t="s">
        <v>38</v>
      </c>
      <c r="O60" s="14" t="s">
        <v>75</v>
      </c>
      <c r="P60" s="14">
        <v>70.67</v>
      </c>
      <c r="Q60" s="14">
        <v>39.979999999999997</v>
      </c>
      <c r="R60" s="14">
        <v>41.9</v>
      </c>
      <c r="S60" s="14">
        <v>1</v>
      </c>
      <c r="T60" s="14">
        <v>22</v>
      </c>
      <c r="U60" s="14" t="s">
        <v>42</v>
      </c>
      <c r="V60" s="14" t="s">
        <v>43</v>
      </c>
      <c r="W60" s="14" t="s">
        <v>44</v>
      </c>
      <c r="X60" s="14">
        <v>2</v>
      </c>
      <c r="Y60" s="14" t="s">
        <v>147</v>
      </c>
      <c r="Z60" s="17">
        <v>1.28125</v>
      </c>
      <c r="AA60" s="14">
        <v>1</v>
      </c>
      <c r="AB60" s="14">
        <v>3</v>
      </c>
      <c r="AC60" s="14">
        <v>3</v>
      </c>
      <c r="AD60" s="17">
        <f>IFERROR(Z60/(AA60*AB60)*AC60*AA60,"")</f>
        <v>1.28125</v>
      </c>
      <c r="AE60" s="17">
        <f>Z60+AD60</f>
        <v>2.5625</v>
      </c>
      <c r="AF60" s="17"/>
      <c r="AG60" s="14">
        <f>AB60+AC60</f>
        <v>6</v>
      </c>
      <c r="AH60" s="18"/>
      <c r="AI60" s="19"/>
      <c r="AJ60" s="19"/>
      <c r="AK60" s="19"/>
      <c r="AL60" s="19"/>
      <c r="AM60" s="19"/>
    </row>
    <row r="61" spans="1:39" ht="15.75" customHeight="1">
      <c r="A61" s="2"/>
      <c r="B61" s="20" t="s">
        <v>219</v>
      </c>
      <c r="C61" s="14" t="s">
        <v>220</v>
      </c>
      <c r="D61" s="14" t="s">
        <v>56</v>
      </c>
      <c r="E61" s="14" t="s">
        <v>221</v>
      </c>
      <c r="F61" s="14">
        <v>21</v>
      </c>
      <c r="G61" s="15">
        <v>7.77</v>
      </c>
      <c r="H61" s="14" t="s">
        <v>36</v>
      </c>
      <c r="I61" s="14" t="s">
        <v>37</v>
      </c>
      <c r="J61" s="14" t="s">
        <v>40</v>
      </c>
      <c r="K61" s="16"/>
      <c r="L61" s="14" t="s">
        <v>39</v>
      </c>
      <c r="M61" s="14" t="s">
        <v>40</v>
      </c>
      <c r="N61" s="14" t="s">
        <v>40</v>
      </c>
      <c r="O61" s="14" t="s">
        <v>41</v>
      </c>
      <c r="P61" s="14">
        <v>70.67</v>
      </c>
      <c r="Q61" s="14">
        <v>39.979999999999997</v>
      </c>
      <c r="R61" s="14">
        <v>41.9</v>
      </c>
      <c r="S61" s="14">
        <v>1</v>
      </c>
      <c r="T61" s="14">
        <v>0</v>
      </c>
      <c r="U61" s="14" t="s">
        <v>42</v>
      </c>
      <c r="V61" s="14" t="s">
        <v>43</v>
      </c>
      <c r="W61" s="14" t="s">
        <v>44</v>
      </c>
      <c r="X61" s="14">
        <v>2</v>
      </c>
      <c r="Y61" s="14" t="s">
        <v>222</v>
      </c>
      <c r="Z61" s="17">
        <v>0.96875</v>
      </c>
      <c r="AA61" s="14">
        <v>2</v>
      </c>
      <c r="AB61" s="14">
        <v>3</v>
      </c>
      <c r="AC61" s="14">
        <v>3</v>
      </c>
      <c r="AD61" s="17">
        <f>IFERROR(Z61/(AA61*AB61)*AC61*AA61,"")</f>
        <v>0.96875</v>
      </c>
      <c r="AE61" s="17">
        <f>Z61+AD61</f>
        <v>1.9375</v>
      </c>
      <c r="AF61" s="17"/>
      <c r="AG61" s="14">
        <f>AB61+AC61</f>
        <v>6</v>
      </c>
      <c r="AH61" s="18"/>
      <c r="AI61" s="19"/>
      <c r="AJ61" s="19"/>
      <c r="AK61" s="19"/>
      <c r="AL61" s="19"/>
      <c r="AM61" s="19"/>
    </row>
    <row r="62" spans="1:39" ht="15.75" customHeight="1">
      <c r="A62" s="2"/>
      <c r="B62" s="20" t="s">
        <v>223</v>
      </c>
      <c r="C62" s="14" t="s">
        <v>47</v>
      </c>
      <c r="D62" s="16"/>
      <c r="E62" s="16"/>
      <c r="F62" s="14">
        <v>22</v>
      </c>
      <c r="G62" s="15">
        <v>8.0299999999999994</v>
      </c>
      <c r="H62" s="14" t="s">
        <v>36</v>
      </c>
      <c r="I62" s="14" t="s">
        <v>37</v>
      </c>
      <c r="J62" s="14" t="s">
        <v>38</v>
      </c>
      <c r="K62" s="16"/>
      <c r="L62" s="14" t="s">
        <v>50</v>
      </c>
      <c r="M62" s="14" t="s">
        <v>38</v>
      </c>
      <c r="N62" s="14" t="s">
        <v>38</v>
      </c>
      <c r="O62" s="14" t="s">
        <v>41</v>
      </c>
      <c r="P62" s="14">
        <v>67.8</v>
      </c>
      <c r="Q62" s="14">
        <v>40</v>
      </c>
      <c r="R62" s="14">
        <v>43</v>
      </c>
      <c r="S62" s="14">
        <v>1</v>
      </c>
      <c r="T62" s="14">
        <v>14</v>
      </c>
      <c r="U62" s="14" t="s">
        <v>42</v>
      </c>
      <c r="V62" s="14" t="s">
        <v>43</v>
      </c>
      <c r="W62" s="14" t="s">
        <v>44</v>
      </c>
      <c r="X62" s="14">
        <v>2</v>
      </c>
      <c r="Y62" s="14" t="s">
        <v>147</v>
      </c>
      <c r="Z62" s="17">
        <v>1.2708333333333333</v>
      </c>
      <c r="AA62" s="14">
        <v>2</v>
      </c>
      <c r="AB62" s="14">
        <v>2</v>
      </c>
      <c r="AC62" s="14">
        <v>3</v>
      </c>
      <c r="AD62" s="17">
        <f>IFERROR(Z62/(AA62*AB62)*AC62*AA62,"")</f>
        <v>1.90625</v>
      </c>
      <c r="AE62" s="17">
        <f>Z62+AD62</f>
        <v>3.177083333333333</v>
      </c>
      <c r="AF62" s="17"/>
      <c r="AG62" s="14">
        <f>AB62+AC62</f>
        <v>5</v>
      </c>
      <c r="AH62" s="18"/>
      <c r="AI62" s="19"/>
      <c r="AJ62" s="19"/>
      <c r="AK62" s="19"/>
      <c r="AL62" s="19"/>
      <c r="AM62" s="19"/>
    </row>
    <row r="63" spans="1:39" ht="15.75" customHeight="1">
      <c r="A63" s="2"/>
      <c r="B63" s="20" t="s">
        <v>224</v>
      </c>
      <c r="C63" s="14" t="s">
        <v>183</v>
      </c>
      <c r="D63" s="14" t="s">
        <v>169</v>
      </c>
      <c r="E63" s="14" t="s">
        <v>225</v>
      </c>
      <c r="F63" s="14">
        <v>16</v>
      </c>
      <c r="G63" s="15">
        <v>6.08</v>
      </c>
      <c r="H63" s="14" t="s">
        <v>36</v>
      </c>
      <c r="I63" s="14" t="s">
        <v>37</v>
      </c>
      <c r="J63" s="14" t="s">
        <v>38</v>
      </c>
      <c r="K63" s="16"/>
      <c r="L63" s="14" t="s">
        <v>50</v>
      </c>
      <c r="M63" s="14" t="s">
        <v>38</v>
      </c>
      <c r="N63" s="14" t="s">
        <v>38</v>
      </c>
      <c r="O63" s="14" t="s">
        <v>41</v>
      </c>
      <c r="P63" s="14">
        <v>70.67</v>
      </c>
      <c r="Q63" s="14">
        <v>39.979999999999997</v>
      </c>
      <c r="R63" s="14">
        <v>41.9</v>
      </c>
      <c r="S63" s="14">
        <v>2</v>
      </c>
      <c r="T63" s="14">
        <v>2</v>
      </c>
      <c r="U63" s="14" t="s">
        <v>42</v>
      </c>
      <c r="V63" s="14" t="s">
        <v>43</v>
      </c>
      <c r="W63" s="14" t="s">
        <v>44</v>
      </c>
      <c r="X63" s="14">
        <v>2</v>
      </c>
      <c r="Y63" s="14" t="s">
        <v>147</v>
      </c>
      <c r="Z63" s="17">
        <v>1.1527777777777777</v>
      </c>
      <c r="AA63" s="14">
        <v>2</v>
      </c>
      <c r="AB63" s="14">
        <v>2</v>
      </c>
      <c r="AC63" s="14">
        <v>3</v>
      </c>
      <c r="AD63" s="17">
        <f>IFERROR(Z63/(AA63*AB63)*AC63*AA63,"")</f>
        <v>1.7291666666666665</v>
      </c>
      <c r="AE63" s="17">
        <f>Z63+AD63</f>
        <v>2.8819444444444442</v>
      </c>
      <c r="AF63" s="17"/>
      <c r="AG63" s="14">
        <f>AB63+AC63</f>
        <v>5</v>
      </c>
      <c r="AH63" s="18"/>
      <c r="AI63" s="19"/>
      <c r="AJ63" s="19"/>
      <c r="AK63" s="19"/>
      <c r="AL63" s="19"/>
      <c r="AM63" s="19"/>
    </row>
    <row r="64" spans="1:39" ht="15.75" customHeight="1">
      <c r="A64" s="2"/>
      <c r="B64" s="20" t="s">
        <v>226</v>
      </c>
      <c r="C64" s="14" t="s">
        <v>158</v>
      </c>
      <c r="D64" s="14" t="s">
        <v>78</v>
      </c>
      <c r="E64" s="14" t="s">
        <v>172</v>
      </c>
      <c r="F64" s="14">
        <v>13</v>
      </c>
      <c r="G64" s="15">
        <v>4.8099999999999996</v>
      </c>
      <c r="H64" s="14" t="s">
        <v>58</v>
      </c>
      <c r="I64" s="14" t="s">
        <v>37</v>
      </c>
      <c r="J64" s="14" t="s">
        <v>40</v>
      </c>
      <c r="K64" s="16"/>
      <c r="L64" s="14" t="s">
        <v>39</v>
      </c>
      <c r="M64" s="14" t="s">
        <v>40</v>
      </c>
      <c r="N64" s="14" t="s">
        <v>38</v>
      </c>
      <c r="O64" s="14" t="s">
        <v>80</v>
      </c>
      <c r="P64" s="14">
        <v>70.67</v>
      </c>
      <c r="Q64" s="14">
        <v>39.979999999999997</v>
      </c>
      <c r="R64" s="14">
        <v>41.9</v>
      </c>
      <c r="S64" s="14">
        <v>1</v>
      </c>
      <c r="T64" s="14">
        <v>0</v>
      </c>
      <c r="U64" s="14" t="s">
        <v>42</v>
      </c>
      <c r="V64" s="14" t="s">
        <v>67</v>
      </c>
      <c r="W64" s="14" t="s">
        <v>44</v>
      </c>
      <c r="X64" s="14">
        <v>2</v>
      </c>
      <c r="Y64" s="14" t="s">
        <v>147</v>
      </c>
      <c r="Z64" s="17">
        <v>1.2708333333333333</v>
      </c>
      <c r="AA64" s="14">
        <v>2</v>
      </c>
      <c r="AB64" s="14">
        <v>3</v>
      </c>
      <c r="AC64" s="14">
        <v>3</v>
      </c>
      <c r="AD64" s="17">
        <f>IFERROR(Z64/(AA64*AB64)*AC64*AA64,"")</f>
        <v>1.2708333333333333</v>
      </c>
      <c r="AE64" s="17">
        <f>Z64+AD64</f>
        <v>2.5416666666666665</v>
      </c>
      <c r="AF64" s="17"/>
      <c r="AG64" s="14">
        <f>AB64+AC64</f>
        <v>6</v>
      </c>
      <c r="AH64" s="18"/>
      <c r="AI64" s="19"/>
      <c r="AJ64" s="19"/>
      <c r="AK64" s="19"/>
      <c r="AL64" s="19"/>
      <c r="AM64" s="19"/>
    </row>
    <row r="65" spans="1:39" ht="15.75" customHeight="1">
      <c r="A65" s="2"/>
      <c r="B65" s="20" t="s">
        <v>227</v>
      </c>
      <c r="C65" s="14" t="s">
        <v>69</v>
      </c>
      <c r="D65" s="14" t="s">
        <v>169</v>
      </c>
      <c r="E65" s="14" t="s">
        <v>193</v>
      </c>
      <c r="F65" s="14">
        <v>19</v>
      </c>
      <c r="G65" s="15">
        <v>7.03</v>
      </c>
      <c r="H65" s="14" t="s">
        <v>58</v>
      </c>
      <c r="I65" s="14" t="s">
        <v>37</v>
      </c>
      <c r="J65" s="14" t="s">
        <v>40</v>
      </c>
      <c r="K65" s="16"/>
      <c r="L65" s="14" t="s">
        <v>39</v>
      </c>
      <c r="M65" s="14" t="s">
        <v>40</v>
      </c>
      <c r="N65" s="14" t="s">
        <v>38</v>
      </c>
      <c r="O65" s="14" t="s">
        <v>41</v>
      </c>
      <c r="P65" s="14">
        <v>67.8</v>
      </c>
      <c r="Q65" s="14">
        <v>40</v>
      </c>
      <c r="R65" s="14">
        <v>43</v>
      </c>
      <c r="S65" s="14">
        <v>4</v>
      </c>
      <c r="T65" s="14">
        <v>0</v>
      </c>
      <c r="U65" s="14" t="s">
        <v>42</v>
      </c>
      <c r="V65" s="14" t="s">
        <v>43</v>
      </c>
      <c r="W65" s="14" t="s">
        <v>62</v>
      </c>
      <c r="X65" s="14">
        <v>2</v>
      </c>
      <c r="Y65" s="14" t="s">
        <v>147</v>
      </c>
      <c r="Z65" s="17">
        <v>1.125</v>
      </c>
      <c r="AA65" s="14">
        <v>1</v>
      </c>
      <c r="AB65" s="14">
        <v>3</v>
      </c>
      <c r="AC65" s="14">
        <v>3</v>
      </c>
      <c r="AD65" s="17">
        <f>IFERROR(Z65/(AA65*AB65)*AC65*AA65,"")</f>
        <v>1.125</v>
      </c>
      <c r="AE65" s="17">
        <f>Z65+AD65</f>
        <v>2.25</v>
      </c>
      <c r="AF65" s="17"/>
      <c r="AG65" s="14">
        <f>AB65+AC65</f>
        <v>6</v>
      </c>
      <c r="AH65" s="18"/>
      <c r="AI65" s="19"/>
      <c r="AJ65" s="19"/>
      <c r="AK65" s="19"/>
      <c r="AL65" s="19"/>
      <c r="AM65" s="19"/>
    </row>
    <row r="66" spans="1:39" ht="15.75" customHeight="1">
      <c r="A66" s="2"/>
      <c r="B66" s="20" t="s">
        <v>228</v>
      </c>
      <c r="C66" s="14" t="s">
        <v>137</v>
      </c>
      <c r="D66" s="14" t="s">
        <v>83</v>
      </c>
      <c r="E66" s="14" t="s">
        <v>35</v>
      </c>
      <c r="F66" s="14">
        <v>20</v>
      </c>
      <c r="G66" s="15">
        <v>7.6</v>
      </c>
      <c r="H66" s="14" t="s">
        <v>58</v>
      </c>
      <c r="I66" s="14" t="s">
        <v>37</v>
      </c>
      <c r="J66" s="14" t="s">
        <v>40</v>
      </c>
      <c r="K66" s="16"/>
      <c r="L66" s="14" t="s">
        <v>39</v>
      </c>
      <c r="M66" s="14" t="s">
        <v>40</v>
      </c>
      <c r="N66" s="14" t="s">
        <v>40</v>
      </c>
      <c r="O66" s="14" t="s">
        <v>41</v>
      </c>
      <c r="P66" s="14">
        <v>68.5</v>
      </c>
      <c r="Q66" s="14">
        <v>41.02</v>
      </c>
      <c r="R66" s="14">
        <v>40.799999999999997</v>
      </c>
      <c r="S66" s="14">
        <v>1</v>
      </c>
      <c r="T66" s="14">
        <v>0</v>
      </c>
      <c r="U66" s="14" t="s">
        <v>42</v>
      </c>
      <c r="V66" s="14" t="s">
        <v>43</v>
      </c>
      <c r="W66" s="14" t="s">
        <v>44</v>
      </c>
      <c r="X66" s="14">
        <v>1</v>
      </c>
      <c r="Y66" s="14" t="s">
        <v>147</v>
      </c>
      <c r="Z66" s="17">
        <v>1.0625</v>
      </c>
      <c r="AA66" s="14">
        <v>1</v>
      </c>
      <c r="AB66" s="14">
        <v>3</v>
      </c>
      <c r="AC66" s="14">
        <v>3</v>
      </c>
      <c r="AD66" s="17">
        <f>IFERROR(Z66/(AA66*AB66)*AC66*AA66,"")</f>
        <v>1.0625</v>
      </c>
      <c r="AE66" s="17">
        <f>Z66+AD66</f>
        <v>2.125</v>
      </c>
      <c r="AF66" s="17"/>
      <c r="AG66" s="14">
        <f>AB66+AC66</f>
        <v>6</v>
      </c>
      <c r="AH66" s="18"/>
      <c r="AI66" s="19"/>
      <c r="AJ66" s="19"/>
      <c r="AK66" s="19"/>
      <c r="AL66" s="19"/>
      <c r="AM66" s="19"/>
    </row>
    <row r="67" spans="1:39" ht="15.75" customHeight="1">
      <c r="A67" s="2"/>
      <c r="B67" s="20" t="s">
        <v>229</v>
      </c>
      <c r="C67" s="14" t="s">
        <v>69</v>
      </c>
      <c r="D67" s="14" t="s">
        <v>178</v>
      </c>
      <c r="E67" s="14" t="s">
        <v>35</v>
      </c>
      <c r="F67" s="14">
        <v>12</v>
      </c>
      <c r="G67" s="15">
        <v>4.38</v>
      </c>
      <c r="H67" s="14" t="s">
        <v>58</v>
      </c>
      <c r="I67" s="14" t="s">
        <v>37</v>
      </c>
      <c r="J67" s="14" t="s">
        <v>38</v>
      </c>
      <c r="K67" s="16"/>
      <c r="L67" s="14" t="s">
        <v>50</v>
      </c>
      <c r="M67" s="14" t="s">
        <v>38</v>
      </c>
      <c r="N67" s="14" t="s">
        <v>40</v>
      </c>
      <c r="O67" s="14" t="s">
        <v>41</v>
      </c>
      <c r="P67" s="14">
        <v>69.37</v>
      </c>
      <c r="Q67" s="14">
        <v>40.909999999999997</v>
      </c>
      <c r="R67" s="14">
        <v>44.09</v>
      </c>
      <c r="S67" s="14">
        <v>1</v>
      </c>
      <c r="T67" s="14">
        <v>7</v>
      </c>
      <c r="U67" s="14" t="s">
        <v>42</v>
      </c>
      <c r="V67" s="14" t="s">
        <v>43</v>
      </c>
      <c r="W67" s="14" t="s">
        <v>44</v>
      </c>
      <c r="X67" s="14">
        <v>2</v>
      </c>
      <c r="Y67" s="14" t="s">
        <v>222</v>
      </c>
      <c r="Z67" s="17">
        <v>1.2256944444444444</v>
      </c>
      <c r="AA67" s="14">
        <v>2</v>
      </c>
      <c r="AB67" s="14">
        <v>3</v>
      </c>
      <c r="AC67" s="14">
        <v>3</v>
      </c>
      <c r="AD67" s="17">
        <f>IFERROR(Z67/(AA67*AB67)*AC67*AA67,"")</f>
        <v>1.2256944444444444</v>
      </c>
      <c r="AE67" s="17">
        <f>Z67+AD67</f>
        <v>2.4513888888888888</v>
      </c>
      <c r="AF67" s="17"/>
      <c r="AG67" s="14">
        <f>AB67+AC67</f>
        <v>6</v>
      </c>
      <c r="AH67" s="18"/>
      <c r="AI67" s="19"/>
      <c r="AJ67" s="19"/>
      <c r="AK67" s="19"/>
      <c r="AL67" s="19"/>
      <c r="AM67" s="19"/>
    </row>
    <row r="68" spans="1:39" ht="15.75" customHeight="1">
      <c r="A68" s="2"/>
      <c r="B68" s="20" t="s">
        <v>230</v>
      </c>
      <c r="C68" s="14" t="s">
        <v>205</v>
      </c>
      <c r="D68" s="14" t="s">
        <v>231</v>
      </c>
      <c r="E68" s="14" t="s">
        <v>232</v>
      </c>
      <c r="F68" s="14">
        <v>21</v>
      </c>
      <c r="G68" s="15">
        <v>7.77</v>
      </c>
      <c r="H68" s="14" t="s">
        <v>58</v>
      </c>
      <c r="I68" s="14" t="s">
        <v>37</v>
      </c>
      <c r="J68" s="14" t="s">
        <v>40</v>
      </c>
      <c r="K68" s="16"/>
      <c r="L68" s="14" t="s">
        <v>39</v>
      </c>
      <c r="M68" s="14" t="s">
        <v>40</v>
      </c>
      <c r="N68" s="14" t="s">
        <v>38</v>
      </c>
      <c r="O68" s="14" t="s">
        <v>41</v>
      </c>
      <c r="P68" s="14">
        <v>70.67</v>
      </c>
      <c r="Q68" s="14">
        <v>39.979999999999997</v>
      </c>
      <c r="R68" s="14">
        <v>41.9</v>
      </c>
      <c r="S68" s="14">
        <v>4</v>
      </c>
      <c r="T68" s="14">
        <v>0</v>
      </c>
      <c r="U68" s="14" t="s">
        <v>42</v>
      </c>
      <c r="V68" s="14" t="s">
        <v>43</v>
      </c>
      <c r="W68" s="14" t="s">
        <v>44</v>
      </c>
      <c r="X68" s="14">
        <v>2</v>
      </c>
      <c r="Y68" s="14" t="s">
        <v>147</v>
      </c>
      <c r="Z68" s="17">
        <v>1.125</v>
      </c>
      <c r="AA68" s="14">
        <v>2</v>
      </c>
      <c r="AB68" s="14">
        <v>3</v>
      </c>
      <c r="AC68" s="14">
        <v>3</v>
      </c>
      <c r="AD68" s="17">
        <f>IFERROR(Z68/(AA68*AB68)*AC68*AA68,"")</f>
        <v>1.125</v>
      </c>
      <c r="AE68" s="17">
        <f>Z68+AD68</f>
        <v>2.25</v>
      </c>
      <c r="AF68" s="17"/>
      <c r="AG68" s="14">
        <f>AB68+AC68</f>
        <v>6</v>
      </c>
      <c r="AH68" s="18" t="s">
        <v>233</v>
      </c>
      <c r="AI68" s="19"/>
      <c r="AJ68" s="19"/>
      <c r="AK68" s="19"/>
      <c r="AL68" s="19"/>
      <c r="AM68" s="19"/>
    </row>
    <row r="69" spans="1:39" ht="15.75" customHeight="1">
      <c r="A69" s="2"/>
      <c r="B69" s="20" t="s">
        <v>234</v>
      </c>
      <c r="C69" s="14" t="s">
        <v>235</v>
      </c>
      <c r="D69" s="14" t="s">
        <v>78</v>
      </c>
      <c r="E69" s="14" t="s">
        <v>35</v>
      </c>
      <c r="F69" s="14">
        <v>36</v>
      </c>
      <c r="G69" s="15">
        <v>13.32</v>
      </c>
      <c r="H69" s="14" t="s">
        <v>58</v>
      </c>
      <c r="I69" s="14" t="s">
        <v>37</v>
      </c>
      <c r="J69" s="14" t="s">
        <v>40</v>
      </c>
      <c r="K69" s="16"/>
      <c r="L69" s="14" t="s">
        <v>39</v>
      </c>
      <c r="M69" s="14" t="s">
        <v>40</v>
      </c>
      <c r="N69" s="14" t="s">
        <v>40</v>
      </c>
      <c r="O69" s="14" t="s">
        <v>41</v>
      </c>
      <c r="P69" s="14">
        <v>70.67</v>
      </c>
      <c r="Q69" s="14">
        <v>39.979999999999997</v>
      </c>
      <c r="R69" s="14">
        <v>41.9</v>
      </c>
      <c r="S69" s="14">
        <v>1</v>
      </c>
      <c r="T69" s="14">
        <v>0</v>
      </c>
      <c r="U69" s="14" t="s">
        <v>123</v>
      </c>
      <c r="V69" s="14" t="s">
        <v>124</v>
      </c>
      <c r="W69" s="14" t="s">
        <v>85</v>
      </c>
      <c r="X69" s="14">
        <v>2</v>
      </c>
      <c r="Y69" s="14" t="s">
        <v>222</v>
      </c>
      <c r="Z69" s="17">
        <v>2.34375</v>
      </c>
      <c r="AA69" s="14">
        <v>3</v>
      </c>
      <c r="AB69" s="14">
        <v>3</v>
      </c>
      <c r="AC69" s="14">
        <v>3</v>
      </c>
      <c r="AD69" s="17">
        <f>IFERROR(Z69/(AA69*AB69)*AC69*AA69,"")</f>
        <v>2.34375</v>
      </c>
      <c r="AE69" s="17">
        <f>Z69+AD69</f>
        <v>4.6875</v>
      </c>
      <c r="AF69" s="17"/>
      <c r="AG69" s="14">
        <f>AB69+AC69</f>
        <v>6</v>
      </c>
      <c r="AH69" s="18"/>
      <c r="AI69" s="19"/>
      <c r="AJ69" s="19"/>
      <c r="AK69" s="19"/>
      <c r="AL69" s="19"/>
      <c r="AM69" s="19"/>
    </row>
    <row r="70" spans="1:39" ht="15.75" customHeight="1">
      <c r="A70" s="2"/>
      <c r="B70" s="20" t="s">
        <v>236</v>
      </c>
      <c r="C70" s="14" t="s">
        <v>77</v>
      </c>
      <c r="D70" s="14" t="s">
        <v>237</v>
      </c>
      <c r="E70" s="14" t="s">
        <v>35</v>
      </c>
      <c r="F70" s="14">
        <v>17</v>
      </c>
      <c r="G70" s="15">
        <v>5.61</v>
      </c>
      <c r="H70" s="14" t="s">
        <v>36</v>
      </c>
      <c r="I70" s="14" t="s">
        <v>37</v>
      </c>
      <c r="J70" s="14" t="s">
        <v>40</v>
      </c>
      <c r="K70" s="16"/>
      <c r="L70" s="14" t="s">
        <v>39</v>
      </c>
      <c r="M70" s="14" t="s">
        <v>40</v>
      </c>
      <c r="N70" s="14" t="s">
        <v>40</v>
      </c>
      <c r="O70" s="14" t="s">
        <v>41</v>
      </c>
      <c r="P70" s="14">
        <v>66.53</v>
      </c>
      <c r="Q70" s="14">
        <v>39.21</v>
      </c>
      <c r="R70" s="14">
        <v>39.700000000000003</v>
      </c>
      <c r="S70" s="14">
        <v>2</v>
      </c>
      <c r="T70" s="14">
        <v>0</v>
      </c>
      <c r="U70" s="14" t="s">
        <v>42</v>
      </c>
      <c r="V70" s="14" t="s">
        <v>43</v>
      </c>
      <c r="W70" s="14" t="s">
        <v>62</v>
      </c>
      <c r="X70" s="14">
        <v>2</v>
      </c>
      <c r="Y70" s="14" t="s">
        <v>147</v>
      </c>
      <c r="Z70" s="17">
        <v>0.97569444444444442</v>
      </c>
      <c r="AA70" s="14">
        <v>2</v>
      </c>
      <c r="AB70" s="14">
        <v>3</v>
      </c>
      <c r="AC70" s="14">
        <v>3</v>
      </c>
      <c r="AD70" s="17">
        <f>IFERROR(Z70/(AA70*AB70)*AC70*AA70,"")</f>
        <v>0.97569444444444442</v>
      </c>
      <c r="AE70" s="17">
        <f>Z70+AD70</f>
        <v>1.9513888888888888</v>
      </c>
      <c r="AF70" s="17"/>
      <c r="AG70" s="14">
        <f>AB70+AC70</f>
        <v>6</v>
      </c>
      <c r="AH70" s="18"/>
      <c r="AI70" s="19"/>
      <c r="AJ70" s="19"/>
      <c r="AK70" s="19"/>
      <c r="AL70" s="19"/>
      <c r="AM70" s="19"/>
    </row>
    <row r="71" spans="1:39" ht="15.75" customHeight="1">
      <c r="A71" s="2"/>
      <c r="B71" s="20" t="s">
        <v>238</v>
      </c>
      <c r="C71" s="14" t="s">
        <v>239</v>
      </c>
      <c r="D71" s="14" t="s">
        <v>70</v>
      </c>
      <c r="E71" s="14" t="s">
        <v>71</v>
      </c>
      <c r="F71" s="14">
        <v>16</v>
      </c>
      <c r="G71" s="15">
        <v>5.52</v>
      </c>
      <c r="H71" s="14" t="s">
        <v>36</v>
      </c>
      <c r="I71" s="14" t="s">
        <v>37</v>
      </c>
      <c r="J71" s="14" t="s">
        <v>38</v>
      </c>
      <c r="K71" s="16"/>
      <c r="L71" s="14" t="s">
        <v>39</v>
      </c>
      <c r="M71" s="14" t="s">
        <v>40</v>
      </c>
      <c r="N71" s="14" t="s">
        <v>38</v>
      </c>
      <c r="O71" s="14" t="s">
        <v>41</v>
      </c>
      <c r="P71" s="14">
        <v>68.8</v>
      </c>
      <c r="Q71" s="14">
        <v>41.5</v>
      </c>
      <c r="R71" s="14">
        <v>44.8</v>
      </c>
      <c r="S71" s="14">
        <v>2</v>
      </c>
      <c r="T71" s="14">
        <v>0</v>
      </c>
      <c r="U71" s="14" t="s">
        <v>42</v>
      </c>
      <c r="V71" s="14" t="s">
        <v>43</v>
      </c>
      <c r="W71" s="14" t="s">
        <v>44</v>
      </c>
      <c r="X71" s="14">
        <v>1</v>
      </c>
      <c r="Y71" s="14" t="s">
        <v>147</v>
      </c>
      <c r="Z71" s="17">
        <v>1.375</v>
      </c>
      <c r="AA71" s="14">
        <v>3</v>
      </c>
      <c r="AB71" s="14">
        <v>3</v>
      </c>
      <c r="AC71" s="14">
        <v>3</v>
      </c>
      <c r="AD71" s="17">
        <f>IFERROR(Z71/(AA71*AB71)*AC71*AA71,"")</f>
        <v>1.375</v>
      </c>
      <c r="AE71" s="17">
        <f>Z71+AD71</f>
        <v>2.75</v>
      </c>
      <c r="AF71" s="17"/>
      <c r="AG71" s="14">
        <f>AB71+AC71</f>
        <v>6</v>
      </c>
      <c r="AH71" s="18"/>
      <c r="AI71" s="19"/>
      <c r="AJ71" s="19"/>
      <c r="AK71" s="19"/>
      <c r="AL71" s="19"/>
      <c r="AM71" s="19"/>
    </row>
    <row r="72" spans="1:39" ht="15.75" customHeight="1">
      <c r="A72" s="2"/>
      <c r="B72" s="20" t="s">
        <v>240</v>
      </c>
      <c r="C72" s="14" t="s">
        <v>158</v>
      </c>
      <c r="D72" s="14" t="s">
        <v>105</v>
      </c>
      <c r="E72" s="14" t="s">
        <v>35</v>
      </c>
      <c r="F72" s="14">
        <v>14</v>
      </c>
      <c r="G72" s="15">
        <v>5.32</v>
      </c>
      <c r="H72" s="14" t="s">
        <v>58</v>
      </c>
      <c r="I72" s="14" t="s">
        <v>37</v>
      </c>
      <c r="J72" s="14" t="s">
        <v>40</v>
      </c>
      <c r="K72" s="16"/>
      <c r="L72" s="14" t="s">
        <v>39</v>
      </c>
      <c r="M72" s="14" t="s">
        <v>40</v>
      </c>
      <c r="N72" s="14" t="s">
        <v>40</v>
      </c>
      <c r="O72" s="14" t="s">
        <v>41</v>
      </c>
      <c r="P72" s="14">
        <v>70.67</v>
      </c>
      <c r="Q72" s="14">
        <v>39.979999999999997</v>
      </c>
      <c r="R72" s="14">
        <v>41.9</v>
      </c>
      <c r="S72" s="14">
        <v>1</v>
      </c>
      <c r="T72" s="14">
        <v>0</v>
      </c>
      <c r="U72" s="14" t="s">
        <v>42</v>
      </c>
      <c r="V72" s="14" t="s">
        <v>67</v>
      </c>
      <c r="W72" s="14" t="s">
        <v>44</v>
      </c>
      <c r="X72" s="14">
        <v>1</v>
      </c>
      <c r="Y72" s="14" t="s">
        <v>147</v>
      </c>
      <c r="Z72" s="17">
        <v>1.0208333333333333</v>
      </c>
      <c r="AA72" s="14">
        <v>1</v>
      </c>
      <c r="AB72" s="14">
        <v>3</v>
      </c>
      <c r="AC72" s="14">
        <v>3</v>
      </c>
      <c r="AD72" s="17">
        <f>IFERROR(Z72/(AA72*AB72)*AC72*AA72,"")</f>
        <v>1.0208333333333333</v>
      </c>
      <c r="AE72" s="17">
        <f>Z72+AD72</f>
        <v>2.0416666666666665</v>
      </c>
      <c r="AF72" s="17"/>
      <c r="AG72" s="14">
        <f>AB72+AC72</f>
        <v>6</v>
      </c>
      <c r="AH72" s="18"/>
      <c r="AI72" s="19"/>
      <c r="AJ72" s="19"/>
      <c r="AK72" s="19"/>
      <c r="AL72" s="19"/>
      <c r="AM72" s="19"/>
    </row>
    <row r="73" spans="1:39" ht="15.75" customHeight="1">
      <c r="A73" s="2"/>
      <c r="B73" s="20" t="s">
        <v>241</v>
      </c>
      <c r="C73" s="14" t="s">
        <v>171</v>
      </c>
      <c r="D73" s="14" t="s">
        <v>231</v>
      </c>
      <c r="E73" s="14" t="s">
        <v>35</v>
      </c>
      <c r="F73" s="14">
        <v>19</v>
      </c>
      <c r="G73" s="15">
        <v>7.22</v>
      </c>
      <c r="H73" s="14" t="s">
        <v>36</v>
      </c>
      <c r="I73" s="14" t="s">
        <v>37</v>
      </c>
      <c r="J73" s="14" t="s">
        <v>38</v>
      </c>
      <c r="K73" s="16"/>
      <c r="L73" s="14" t="s">
        <v>39</v>
      </c>
      <c r="M73" s="14" t="s">
        <v>40</v>
      </c>
      <c r="N73" s="14" t="s">
        <v>40</v>
      </c>
      <c r="O73" s="14" t="s">
        <v>80</v>
      </c>
      <c r="P73" s="14">
        <v>70.67</v>
      </c>
      <c r="Q73" s="14">
        <v>39.979999999999997</v>
      </c>
      <c r="R73" s="14">
        <v>41.9</v>
      </c>
      <c r="S73" s="14">
        <v>1</v>
      </c>
      <c r="T73" s="14">
        <v>0</v>
      </c>
      <c r="U73" s="14" t="s">
        <v>42</v>
      </c>
      <c r="V73" s="14" t="s">
        <v>67</v>
      </c>
      <c r="W73" s="14" t="s">
        <v>44</v>
      </c>
      <c r="X73" s="14">
        <v>1</v>
      </c>
      <c r="Y73" s="14" t="s">
        <v>222</v>
      </c>
      <c r="Z73" s="17">
        <v>0.84375</v>
      </c>
      <c r="AA73" s="14">
        <v>1</v>
      </c>
      <c r="AB73" s="14">
        <v>3</v>
      </c>
      <c r="AC73" s="14">
        <v>3</v>
      </c>
      <c r="AD73" s="17">
        <f>IFERROR(Z73/(AA73*AB73)*AC73*AA73,"")</f>
        <v>0.84375</v>
      </c>
      <c r="AE73" s="17">
        <f>Z73+AD73</f>
        <v>1.6875</v>
      </c>
      <c r="AF73" s="17"/>
      <c r="AG73" s="14">
        <f>AB73+AC73</f>
        <v>6</v>
      </c>
      <c r="AH73" s="18"/>
      <c r="AI73" s="19"/>
      <c r="AJ73" s="19"/>
      <c r="AK73" s="19"/>
      <c r="AL73" s="19"/>
      <c r="AM73" s="19"/>
    </row>
    <row r="74" spans="1:39" ht="15.75" customHeight="1">
      <c r="A74" s="2"/>
      <c r="B74" s="20" t="s">
        <v>242</v>
      </c>
      <c r="C74" s="14" t="s">
        <v>243</v>
      </c>
      <c r="D74" s="14" t="s">
        <v>52</v>
      </c>
      <c r="E74" s="14" t="s">
        <v>71</v>
      </c>
      <c r="F74" s="14">
        <v>4</v>
      </c>
      <c r="G74" s="15">
        <v>1.52</v>
      </c>
      <c r="H74" s="14" t="s">
        <v>58</v>
      </c>
      <c r="I74" s="14" t="s">
        <v>37</v>
      </c>
      <c r="J74" s="14" t="s">
        <v>40</v>
      </c>
      <c r="K74" s="16"/>
      <c r="L74" s="14" t="s">
        <v>39</v>
      </c>
      <c r="M74" s="14" t="s">
        <v>40</v>
      </c>
      <c r="N74" s="14" t="s">
        <v>38</v>
      </c>
      <c r="O74" s="14" t="s">
        <v>41</v>
      </c>
      <c r="P74" s="14">
        <v>70.67</v>
      </c>
      <c r="Q74" s="14">
        <v>39.979999999999997</v>
      </c>
      <c r="R74" s="14">
        <v>41.9</v>
      </c>
      <c r="S74" s="14">
        <v>1</v>
      </c>
      <c r="T74" s="14">
        <v>0</v>
      </c>
      <c r="U74" s="14" t="s">
        <v>42</v>
      </c>
      <c r="V74" s="14" t="s">
        <v>43</v>
      </c>
      <c r="W74" s="14" t="s">
        <v>44</v>
      </c>
      <c r="X74" s="14">
        <v>1</v>
      </c>
      <c r="Y74" s="14" t="s">
        <v>222</v>
      </c>
      <c r="Z74" s="17">
        <v>0.86458333333333337</v>
      </c>
      <c r="AA74" s="14">
        <v>1</v>
      </c>
      <c r="AB74" s="14">
        <v>3</v>
      </c>
      <c r="AC74" s="14">
        <v>1</v>
      </c>
      <c r="AD74" s="17">
        <f>IFERROR(Z74/(AA74*AB74)*AC74*AA74,"")</f>
        <v>0.28819444444444448</v>
      </c>
      <c r="AE74" s="17">
        <f>Z74+AD74</f>
        <v>1.1527777777777779</v>
      </c>
      <c r="AF74" s="17"/>
      <c r="AG74" s="14">
        <f>AB74+AC74</f>
        <v>4</v>
      </c>
      <c r="AH74" s="18"/>
      <c r="AI74" s="19"/>
      <c r="AJ74" s="19"/>
      <c r="AK74" s="19"/>
      <c r="AL74" s="19"/>
      <c r="AM74" s="19"/>
    </row>
    <row r="75" spans="1:39" ht="15.75" customHeight="1">
      <c r="A75" s="2"/>
      <c r="B75" s="20" t="s">
        <v>244</v>
      </c>
      <c r="C75" s="14" t="s">
        <v>149</v>
      </c>
      <c r="D75" s="14" t="s">
        <v>169</v>
      </c>
      <c r="E75" s="14" t="s">
        <v>245</v>
      </c>
      <c r="F75" s="14">
        <v>36</v>
      </c>
      <c r="G75" s="15">
        <v>13.32</v>
      </c>
      <c r="H75" s="14" t="s">
        <v>58</v>
      </c>
      <c r="I75" s="14" t="s">
        <v>37</v>
      </c>
      <c r="J75" s="14" t="s">
        <v>38</v>
      </c>
      <c r="K75" s="16"/>
      <c r="L75" s="14" t="s">
        <v>39</v>
      </c>
      <c r="M75" s="14" t="s">
        <v>40</v>
      </c>
      <c r="N75" s="14" t="s">
        <v>38</v>
      </c>
      <c r="O75" s="14" t="s">
        <v>41</v>
      </c>
      <c r="P75" s="14">
        <v>67.8</v>
      </c>
      <c r="Q75" s="14">
        <v>40</v>
      </c>
      <c r="R75" s="14">
        <v>43</v>
      </c>
      <c r="S75" s="14">
        <v>1</v>
      </c>
      <c r="T75" s="14">
        <v>0</v>
      </c>
      <c r="U75" s="14" t="s">
        <v>42</v>
      </c>
      <c r="V75" s="14" t="s">
        <v>43</v>
      </c>
      <c r="W75" s="14" t="s">
        <v>44</v>
      </c>
      <c r="X75" s="14">
        <v>2</v>
      </c>
      <c r="Y75" s="14" t="s">
        <v>222</v>
      </c>
      <c r="Z75" s="17">
        <v>1.625</v>
      </c>
      <c r="AA75" s="14">
        <v>2</v>
      </c>
      <c r="AB75" s="14">
        <v>2</v>
      </c>
      <c r="AC75" s="14">
        <v>3</v>
      </c>
      <c r="AD75" s="17">
        <f>IFERROR(Z75/(AA75*AB75)*AC75*AA75,"")</f>
        <v>2.4375</v>
      </c>
      <c r="AE75" s="17">
        <f>Z75+AD75</f>
        <v>4.0625</v>
      </c>
      <c r="AF75" s="17"/>
      <c r="AG75" s="14">
        <f>AB75+AC75</f>
        <v>5</v>
      </c>
      <c r="AH75" s="18"/>
      <c r="AI75" s="19"/>
      <c r="AJ75" s="19"/>
      <c r="AK75" s="19"/>
      <c r="AL75" s="19"/>
      <c r="AM75" s="19"/>
    </row>
    <row r="76" spans="1:39" ht="15.75" customHeight="1">
      <c r="A76" s="2"/>
      <c r="B76" s="20" t="s">
        <v>246</v>
      </c>
      <c r="C76" s="14" t="s">
        <v>247</v>
      </c>
      <c r="D76" s="14" t="s">
        <v>169</v>
      </c>
      <c r="E76" s="14" t="s">
        <v>35</v>
      </c>
      <c r="F76" s="14">
        <v>14</v>
      </c>
      <c r="G76" s="15">
        <v>5.95</v>
      </c>
      <c r="H76" s="14" t="s">
        <v>36</v>
      </c>
      <c r="I76" s="14" t="s">
        <v>195</v>
      </c>
      <c r="J76" s="14" t="s">
        <v>40</v>
      </c>
      <c r="K76" s="16"/>
      <c r="L76" s="14" t="s">
        <v>196</v>
      </c>
      <c r="M76" s="14" t="s">
        <v>40</v>
      </c>
      <c r="N76" s="14" t="s">
        <v>40</v>
      </c>
      <c r="O76" s="14" t="s">
        <v>41</v>
      </c>
      <c r="P76" s="14">
        <v>81.900000000000006</v>
      </c>
      <c r="Q76" s="14">
        <v>40.6</v>
      </c>
      <c r="R76" s="14">
        <v>55.1</v>
      </c>
      <c r="S76" s="14">
        <v>1</v>
      </c>
      <c r="T76" s="14">
        <v>0</v>
      </c>
      <c r="U76" s="14" t="s">
        <v>195</v>
      </c>
      <c r="V76" s="14" t="s">
        <v>195</v>
      </c>
      <c r="W76" s="14" t="s">
        <v>44</v>
      </c>
      <c r="X76" s="14">
        <v>0</v>
      </c>
      <c r="Y76" s="14" t="s">
        <v>45</v>
      </c>
      <c r="Z76" s="17">
        <v>1.5173611111111112</v>
      </c>
      <c r="AA76" s="14">
        <v>2</v>
      </c>
      <c r="AB76" s="14">
        <v>3</v>
      </c>
      <c r="AC76" s="14">
        <v>2</v>
      </c>
      <c r="AD76" s="17">
        <f>IFERROR(Z76/(AA76*AB76)*AC76*AA76,"")</f>
        <v>1.0115740740740742</v>
      </c>
      <c r="AE76" s="17">
        <f>Z76+AD76</f>
        <v>2.5289351851851851</v>
      </c>
      <c r="AF76" s="17"/>
      <c r="AG76" s="14">
        <f>AB76+AC76</f>
        <v>5</v>
      </c>
      <c r="AH76" s="18"/>
      <c r="AI76" s="19"/>
      <c r="AJ76" s="19"/>
      <c r="AK76" s="19"/>
      <c r="AL76" s="19"/>
      <c r="AM76" s="19"/>
    </row>
    <row r="77" spans="1:39" ht="15.75" customHeight="1">
      <c r="A77" s="2"/>
      <c r="B77" s="20" t="s">
        <v>248</v>
      </c>
      <c r="C77" s="14" t="s">
        <v>109</v>
      </c>
      <c r="D77" s="16"/>
      <c r="E77" s="14" t="s">
        <v>249</v>
      </c>
      <c r="F77" s="14">
        <v>18</v>
      </c>
      <c r="G77" s="15">
        <v>6.66</v>
      </c>
      <c r="H77" s="14" t="s">
        <v>58</v>
      </c>
      <c r="I77" s="14" t="s">
        <v>37</v>
      </c>
      <c r="J77" s="14" t="s">
        <v>38</v>
      </c>
      <c r="K77" s="16"/>
      <c r="L77" s="14" t="s">
        <v>39</v>
      </c>
      <c r="M77" s="14" t="s">
        <v>40</v>
      </c>
      <c r="N77" s="14" t="s">
        <v>38</v>
      </c>
      <c r="O77" s="14" t="s">
        <v>146</v>
      </c>
      <c r="P77" s="14">
        <v>67.8</v>
      </c>
      <c r="Q77" s="14">
        <v>40</v>
      </c>
      <c r="R77" s="14">
        <v>43</v>
      </c>
      <c r="S77" s="14">
        <v>1</v>
      </c>
      <c r="T77" s="14">
        <v>0</v>
      </c>
      <c r="U77" s="14" t="s">
        <v>42</v>
      </c>
      <c r="V77" s="14" t="s">
        <v>43</v>
      </c>
      <c r="W77" s="14" t="s">
        <v>44</v>
      </c>
      <c r="X77" s="14">
        <v>1</v>
      </c>
      <c r="Y77" s="14" t="s">
        <v>114</v>
      </c>
      <c r="Z77" s="17">
        <v>0.64583333333333337</v>
      </c>
      <c r="AA77" s="14">
        <v>1</v>
      </c>
      <c r="AB77" s="14">
        <v>2</v>
      </c>
      <c r="AC77" s="14">
        <v>2</v>
      </c>
      <c r="AD77" s="17">
        <f>IFERROR(Z77/(AA77*AB77)*AC77*AA77,"")</f>
        <v>0.64583333333333337</v>
      </c>
      <c r="AE77" s="17">
        <f>Z77+AD77</f>
        <v>1.2916666666666667</v>
      </c>
      <c r="AF77" s="17"/>
      <c r="AG77" s="14">
        <f>AB77+AC77</f>
        <v>4</v>
      </c>
      <c r="AH77" s="18"/>
      <c r="AI77" s="19"/>
      <c r="AJ77" s="19"/>
      <c r="AK77" s="19"/>
      <c r="AL77" s="19"/>
      <c r="AM77" s="19"/>
    </row>
    <row r="78" spans="1:39" ht="15.75" customHeight="1">
      <c r="A78" s="2"/>
      <c r="B78" s="20" t="s">
        <v>250</v>
      </c>
      <c r="C78" s="14" t="s">
        <v>94</v>
      </c>
      <c r="D78" s="14" t="s">
        <v>70</v>
      </c>
      <c r="E78" s="14" t="s">
        <v>251</v>
      </c>
      <c r="F78" s="14">
        <v>28</v>
      </c>
      <c r="G78" s="15">
        <v>11.2</v>
      </c>
      <c r="H78" s="14" t="s">
        <v>58</v>
      </c>
      <c r="I78" s="14" t="s">
        <v>37</v>
      </c>
      <c r="J78" s="14" t="s">
        <v>38</v>
      </c>
      <c r="K78" s="16"/>
      <c r="L78" s="14" t="s">
        <v>39</v>
      </c>
      <c r="M78" s="14" t="s">
        <v>40</v>
      </c>
      <c r="N78" s="14" t="s">
        <v>40</v>
      </c>
      <c r="O78" s="14" t="s">
        <v>146</v>
      </c>
      <c r="P78" s="14">
        <v>71.7</v>
      </c>
      <c r="Q78" s="14">
        <v>40</v>
      </c>
      <c r="R78" s="14">
        <v>45</v>
      </c>
      <c r="S78" s="14">
        <v>2</v>
      </c>
      <c r="T78" s="14">
        <v>0</v>
      </c>
      <c r="U78" s="14" t="s">
        <v>42</v>
      </c>
      <c r="V78" s="14" t="s">
        <v>43</v>
      </c>
      <c r="W78" s="14" t="s">
        <v>44</v>
      </c>
      <c r="X78" s="14">
        <v>1</v>
      </c>
      <c r="Y78" s="14" t="s">
        <v>45</v>
      </c>
      <c r="Z78" s="17">
        <v>1.46875</v>
      </c>
      <c r="AA78" s="14">
        <v>2</v>
      </c>
      <c r="AB78" s="14">
        <v>2</v>
      </c>
      <c r="AC78" s="14">
        <v>2</v>
      </c>
      <c r="AD78" s="17">
        <f>IFERROR(Z78/(AA78*AB78)*AC78*AA78,"")</f>
        <v>1.46875</v>
      </c>
      <c r="AE78" s="17">
        <f>Z78+AD78</f>
        <v>2.9375</v>
      </c>
      <c r="AF78" s="17"/>
      <c r="AG78" s="14">
        <f>AB78+AC78</f>
        <v>4</v>
      </c>
      <c r="AH78" s="18"/>
      <c r="AI78" s="19"/>
      <c r="AJ78" s="19"/>
      <c r="AK78" s="19"/>
      <c r="AL78" s="19"/>
      <c r="AM78" s="19"/>
    </row>
    <row r="79" spans="1:39" ht="15.75" customHeight="1">
      <c r="A79" s="2"/>
      <c r="B79" s="20" t="s">
        <v>252</v>
      </c>
      <c r="C79" s="14" t="s">
        <v>205</v>
      </c>
      <c r="D79" s="16"/>
      <c r="E79" s="16"/>
      <c r="F79" s="14">
        <v>29</v>
      </c>
      <c r="G79" s="15">
        <v>10.73</v>
      </c>
      <c r="H79" s="14" t="s">
        <v>58</v>
      </c>
      <c r="I79" s="14" t="s">
        <v>37</v>
      </c>
      <c r="J79" s="14" t="s">
        <v>38</v>
      </c>
      <c r="K79" s="16"/>
      <c r="L79" s="14" t="s">
        <v>50</v>
      </c>
      <c r="M79" s="14" t="s">
        <v>40</v>
      </c>
      <c r="N79" s="14" t="s">
        <v>38</v>
      </c>
      <c r="O79" s="14" t="s">
        <v>135</v>
      </c>
      <c r="P79" s="14">
        <v>67.8</v>
      </c>
      <c r="Q79" s="14">
        <v>40</v>
      </c>
      <c r="R79" s="14">
        <v>43</v>
      </c>
      <c r="S79" s="14">
        <v>4</v>
      </c>
      <c r="T79" s="14">
        <v>0</v>
      </c>
      <c r="U79" s="14" t="s">
        <v>42</v>
      </c>
      <c r="V79" s="14" t="s">
        <v>43</v>
      </c>
      <c r="W79" s="14" t="s">
        <v>44</v>
      </c>
      <c r="X79" s="14">
        <v>1</v>
      </c>
      <c r="Y79" s="14" t="s">
        <v>45</v>
      </c>
      <c r="Z79" s="17">
        <v>1.5104166666666667</v>
      </c>
      <c r="AA79" s="14">
        <v>4</v>
      </c>
      <c r="AB79" s="14">
        <v>2</v>
      </c>
      <c r="AC79" s="14">
        <v>2</v>
      </c>
      <c r="AD79" s="17">
        <f>IFERROR(Z79/(AA79*AB79)*AC79*AA79,"")</f>
        <v>1.5104166666666667</v>
      </c>
      <c r="AE79" s="17">
        <f>Z79+AD79</f>
        <v>3.0208333333333335</v>
      </c>
      <c r="AF79" s="17"/>
      <c r="AG79" s="14">
        <f>AB79+AC79</f>
        <v>4</v>
      </c>
      <c r="AH79" s="18"/>
      <c r="AI79" s="19"/>
      <c r="AJ79" s="19"/>
      <c r="AK79" s="19"/>
      <c r="AL79" s="19"/>
      <c r="AM79" s="19"/>
    </row>
    <row r="80" spans="1:39" ht="15.75" customHeight="1">
      <c r="A80" s="2"/>
      <c r="B80" s="20" t="s">
        <v>253</v>
      </c>
      <c r="C80" s="14" t="s">
        <v>126</v>
      </c>
      <c r="D80" s="14" t="s">
        <v>254</v>
      </c>
      <c r="E80" s="14" t="s">
        <v>35</v>
      </c>
      <c r="F80" s="14">
        <v>15</v>
      </c>
      <c r="G80" s="15">
        <v>5.55</v>
      </c>
      <c r="H80" s="14" t="s">
        <v>58</v>
      </c>
      <c r="I80" s="14" t="s">
        <v>37</v>
      </c>
      <c r="J80" s="14" t="s">
        <v>38</v>
      </c>
      <c r="K80" s="16"/>
      <c r="L80" s="14" t="s">
        <v>39</v>
      </c>
      <c r="M80" s="14" t="s">
        <v>40</v>
      </c>
      <c r="N80" s="14" t="s">
        <v>40</v>
      </c>
      <c r="O80" s="14" t="s">
        <v>41</v>
      </c>
      <c r="P80" s="14">
        <v>67.8</v>
      </c>
      <c r="Q80" s="14">
        <v>40</v>
      </c>
      <c r="R80" s="14">
        <v>43</v>
      </c>
      <c r="S80" s="14">
        <v>1</v>
      </c>
      <c r="T80" s="14">
        <v>0</v>
      </c>
      <c r="U80" s="14" t="s">
        <v>42</v>
      </c>
      <c r="V80" s="14" t="s">
        <v>43</v>
      </c>
      <c r="W80" s="14" t="s">
        <v>85</v>
      </c>
      <c r="X80" s="14">
        <v>1</v>
      </c>
      <c r="Y80" s="14" t="s">
        <v>45</v>
      </c>
      <c r="Z80" s="21">
        <v>1.5868055555555556</v>
      </c>
      <c r="AA80" s="22">
        <v>5</v>
      </c>
      <c r="AB80" s="22">
        <v>3</v>
      </c>
      <c r="AC80" s="14">
        <v>2</v>
      </c>
      <c r="AD80" s="17">
        <f>IFERROR(Z80/(AA80*AB80)*AC80*AA80,"")</f>
        <v>1.0578703703703705</v>
      </c>
      <c r="AE80" s="17">
        <f>Z80+AD80</f>
        <v>2.644675925925926</v>
      </c>
      <c r="AF80" s="17"/>
      <c r="AG80" s="14">
        <f>AB80+AC80</f>
        <v>5</v>
      </c>
      <c r="AH80" s="18" t="s">
        <v>255</v>
      </c>
      <c r="AI80" s="19"/>
      <c r="AJ80" s="19"/>
      <c r="AK80" s="19"/>
      <c r="AL80" s="19"/>
      <c r="AM80" s="19"/>
    </row>
    <row r="81" spans="1:39" ht="15.75" customHeight="1">
      <c r="A81" s="2"/>
      <c r="B81" s="20" t="s">
        <v>256</v>
      </c>
      <c r="C81" s="14" t="s">
        <v>109</v>
      </c>
      <c r="D81" s="14" t="s">
        <v>214</v>
      </c>
      <c r="E81" s="14" t="s">
        <v>257</v>
      </c>
      <c r="F81" s="14">
        <v>28</v>
      </c>
      <c r="G81" s="15">
        <v>10.36</v>
      </c>
      <c r="H81" s="14" t="s">
        <v>36</v>
      </c>
      <c r="I81" s="14" t="s">
        <v>37</v>
      </c>
      <c r="J81" s="14" t="s">
        <v>38</v>
      </c>
      <c r="K81" s="16"/>
      <c r="L81" s="14" t="s">
        <v>258</v>
      </c>
      <c r="M81" s="14" t="s">
        <v>40</v>
      </c>
      <c r="N81" s="14" t="s">
        <v>38</v>
      </c>
      <c r="O81" s="14" t="s">
        <v>41</v>
      </c>
      <c r="P81" s="14">
        <v>67.8</v>
      </c>
      <c r="Q81" s="14">
        <v>40</v>
      </c>
      <c r="R81" s="14">
        <v>43</v>
      </c>
      <c r="S81" s="14">
        <v>1</v>
      </c>
      <c r="T81" s="14">
        <v>0</v>
      </c>
      <c r="U81" s="14" t="s">
        <v>42</v>
      </c>
      <c r="V81" s="14" t="s">
        <v>259</v>
      </c>
      <c r="W81" s="14" t="s">
        <v>44</v>
      </c>
      <c r="X81" s="14">
        <v>1</v>
      </c>
      <c r="Y81" s="14" t="s">
        <v>45</v>
      </c>
      <c r="Z81" s="17">
        <v>0.92013888888888884</v>
      </c>
      <c r="AA81" s="14">
        <v>2</v>
      </c>
      <c r="AB81" s="14">
        <v>1</v>
      </c>
      <c r="AC81" s="14">
        <v>2</v>
      </c>
      <c r="AD81" s="17">
        <f>IFERROR(Z81/(AA81*AB81)*AC81*AA81,"")</f>
        <v>1.8402777777777777</v>
      </c>
      <c r="AE81" s="17">
        <f>Z81+AD81</f>
        <v>2.7604166666666665</v>
      </c>
      <c r="AF81" s="17"/>
      <c r="AG81" s="14">
        <f>AB81+AC81</f>
        <v>3</v>
      </c>
      <c r="AH81" s="18"/>
      <c r="AI81" s="19"/>
      <c r="AJ81" s="19"/>
      <c r="AK81" s="19"/>
      <c r="AL81" s="19"/>
      <c r="AM81" s="19"/>
    </row>
    <row r="82" spans="1:39" ht="15.75" customHeight="1">
      <c r="A82" s="2"/>
      <c r="B82" s="20" t="s">
        <v>260</v>
      </c>
      <c r="C82" s="14" t="s">
        <v>116</v>
      </c>
      <c r="D82" s="14" t="s">
        <v>78</v>
      </c>
      <c r="E82" s="14" t="s">
        <v>261</v>
      </c>
      <c r="F82" s="14">
        <v>9</v>
      </c>
      <c r="G82" s="15">
        <v>3.42</v>
      </c>
      <c r="H82" s="14" t="s">
        <v>58</v>
      </c>
      <c r="I82" s="14" t="s">
        <v>37</v>
      </c>
      <c r="J82" s="14" t="s">
        <v>38</v>
      </c>
      <c r="K82" s="16"/>
      <c r="L82" s="14" t="s">
        <v>50</v>
      </c>
      <c r="M82" s="14" t="s">
        <v>40</v>
      </c>
      <c r="N82" s="14" t="s">
        <v>38</v>
      </c>
      <c r="O82" s="14" t="s">
        <v>41</v>
      </c>
      <c r="P82" s="14">
        <v>70.67</v>
      </c>
      <c r="Q82" s="14">
        <v>39.979999999999997</v>
      </c>
      <c r="R82" s="14">
        <v>41.9</v>
      </c>
      <c r="S82" s="14">
        <v>3</v>
      </c>
      <c r="T82" s="14">
        <v>0</v>
      </c>
      <c r="U82" s="14" t="s">
        <v>42</v>
      </c>
      <c r="V82" s="14" t="s">
        <v>43</v>
      </c>
      <c r="W82" s="14" t="s">
        <v>44</v>
      </c>
      <c r="X82" s="14">
        <v>1</v>
      </c>
      <c r="Y82" s="14" t="s">
        <v>45</v>
      </c>
      <c r="Z82" s="17">
        <v>1.03125</v>
      </c>
      <c r="AA82" s="14">
        <v>2</v>
      </c>
      <c r="AB82" s="14">
        <v>2</v>
      </c>
      <c r="AC82" s="14">
        <v>2</v>
      </c>
      <c r="AD82" s="17">
        <f>IFERROR(Z82/(AA82*AB82)*AC82*AA82,"")</f>
        <v>1.03125</v>
      </c>
      <c r="AE82" s="17">
        <f>Z82+AD82</f>
        <v>2.0625</v>
      </c>
      <c r="AF82" s="17"/>
      <c r="AG82" s="14">
        <f>AB82+AC82</f>
        <v>4</v>
      </c>
      <c r="AH82" s="18"/>
      <c r="AI82" s="19"/>
      <c r="AJ82" s="19"/>
      <c r="AK82" s="19"/>
      <c r="AL82" s="19"/>
      <c r="AM82" s="19"/>
    </row>
    <row r="83" spans="1:39" ht="15.75" customHeight="1">
      <c r="A83" s="2"/>
      <c r="B83" s="20" t="s">
        <v>262</v>
      </c>
      <c r="C83" s="14" t="s">
        <v>166</v>
      </c>
      <c r="D83" s="14" t="s">
        <v>88</v>
      </c>
      <c r="E83" s="14" t="s">
        <v>263</v>
      </c>
      <c r="F83" s="14">
        <v>24</v>
      </c>
      <c r="G83" s="15">
        <v>9.1199999999999992</v>
      </c>
      <c r="H83" s="14" t="s">
        <v>58</v>
      </c>
      <c r="I83" s="14" t="s">
        <v>37</v>
      </c>
      <c r="J83" s="14" t="s">
        <v>38</v>
      </c>
      <c r="K83" s="16"/>
      <c r="L83" s="14" t="s">
        <v>39</v>
      </c>
      <c r="M83" s="14" t="s">
        <v>40</v>
      </c>
      <c r="N83" s="14" t="s">
        <v>38</v>
      </c>
      <c r="O83" s="14" t="s">
        <v>80</v>
      </c>
      <c r="P83" s="14">
        <v>70.67</v>
      </c>
      <c r="Q83" s="14">
        <v>39.979999999999997</v>
      </c>
      <c r="R83" s="14">
        <v>41.9</v>
      </c>
      <c r="S83" s="14">
        <v>2</v>
      </c>
      <c r="T83" s="14">
        <v>0</v>
      </c>
      <c r="U83" s="14" t="s">
        <v>42</v>
      </c>
      <c r="V83" s="14" t="s">
        <v>43</v>
      </c>
      <c r="W83" s="14" t="s">
        <v>44</v>
      </c>
      <c r="X83" s="14">
        <v>1</v>
      </c>
      <c r="Y83" s="14" t="s">
        <v>45</v>
      </c>
      <c r="Z83" s="21">
        <v>6.25E-2</v>
      </c>
      <c r="AA83" s="22">
        <v>1</v>
      </c>
      <c r="AB83" s="22">
        <v>1</v>
      </c>
      <c r="AC83" s="14">
        <v>2</v>
      </c>
      <c r="AD83" s="17">
        <f>IFERROR(Z83/(AA83*AB83)*AC83*AA83,"")</f>
        <v>0.125</v>
      </c>
      <c r="AE83" s="17">
        <f>Z83+AD83</f>
        <v>0.1875</v>
      </c>
      <c r="AF83" s="17"/>
      <c r="AG83" s="14">
        <f>AB83+AC83</f>
        <v>3</v>
      </c>
      <c r="AH83" s="18" t="s">
        <v>264</v>
      </c>
      <c r="AI83" s="19"/>
      <c r="AJ83" s="19"/>
      <c r="AK83" s="19"/>
      <c r="AL83" s="19"/>
      <c r="AM83" s="19"/>
    </row>
    <row r="84" spans="1:39" ht="15.75" customHeight="1">
      <c r="A84" s="2"/>
      <c r="B84" s="20" t="s">
        <v>265</v>
      </c>
      <c r="C84" s="14" t="s">
        <v>205</v>
      </c>
      <c r="D84" s="14" t="s">
        <v>70</v>
      </c>
      <c r="E84" s="14" t="s">
        <v>266</v>
      </c>
      <c r="F84" s="14">
        <v>11</v>
      </c>
      <c r="G84" s="15">
        <v>4.07</v>
      </c>
      <c r="H84" s="14" t="s">
        <v>36</v>
      </c>
      <c r="I84" s="14" t="s">
        <v>37</v>
      </c>
      <c r="J84" s="14" t="s">
        <v>40</v>
      </c>
      <c r="K84" s="16"/>
      <c r="L84" s="14" t="s">
        <v>39</v>
      </c>
      <c r="M84" s="14" t="s">
        <v>40</v>
      </c>
      <c r="N84" s="14" t="s">
        <v>38</v>
      </c>
      <c r="O84" s="14" t="s">
        <v>41</v>
      </c>
      <c r="P84" s="14">
        <v>69.400000000000006</v>
      </c>
      <c r="Q84" s="14">
        <v>40.799999999999997</v>
      </c>
      <c r="R84" s="14">
        <v>43</v>
      </c>
      <c r="S84" s="14">
        <v>2</v>
      </c>
      <c r="T84" s="14">
        <v>0</v>
      </c>
      <c r="U84" s="14" t="s">
        <v>42</v>
      </c>
      <c r="V84" s="14" t="s">
        <v>43</v>
      </c>
      <c r="W84" s="14" t="s">
        <v>44</v>
      </c>
      <c r="X84" s="14">
        <v>1</v>
      </c>
      <c r="Y84" s="14" t="s">
        <v>45</v>
      </c>
      <c r="Z84" s="17">
        <v>0.62152777777777779</v>
      </c>
      <c r="AA84" s="14">
        <v>2</v>
      </c>
      <c r="AB84" s="14">
        <v>2</v>
      </c>
      <c r="AC84" s="14">
        <v>2</v>
      </c>
      <c r="AD84" s="17">
        <f>IFERROR(Z84/(AA84*AB84)*AC84*AA84,"")</f>
        <v>0.62152777777777779</v>
      </c>
      <c r="AE84" s="17">
        <f>Z84+AD84</f>
        <v>1.2430555555555556</v>
      </c>
      <c r="AF84" s="17"/>
      <c r="AG84" s="14">
        <f>AB84+AC84</f>
        <v>4</v>
      </c>
      <c r="AH84" s="18"/>
      <c r="AI84" s="19"/>
      <c r="AJ84" s="19"/>
      <c r="AK84" s="19"/>
      <c r="AL84" s="19"/>
      <c r="AM84" s="19"/>
    </row>
    <row r="85" spans="1:39" ht="15.75" customHeight="1">
      <c r="A85" s="2"/>
      <c r="B85" s="20" t="s">
        <v>267</v>
      </c>
      <c r="C85" s="14" t="s">
        <v>109</v>
      </c>
      <c r="D85" s="14" t="s">
        <v>268</v>
      </c>
      <c r="E85" s="14" t="s">
        <v>269</v>
      </c>
      <c r="F85" s="14">
        <v>21</v>
      </c>
      <c r="G85" s="15">
        <v>7.98</v>
      </c>
      <c r="H85" s="14" t="s">
        <v>58</v>
      </c>
      <c r="I85" s="14" t="s">
        <v>37</v>
      </c>
      <c r="J85" s="14" t="s">
        <v>40</v>
      </c>
      <c r="K85" s="16"/>
      <c r="L85" s="14" t="s">
        <v>39</v>
      </c>
      <c r="M85" s="14" t="s">
        <v>40</v>
      </c>
      <c r="N85" s="14" t="s">
        <v>40</v>
      </c>
      <c r="O85" s="14" t="s">
        <v>53</v>
      </c>
      <c r="P85" s="14">
        <v>70.67</v>
      </c>
      <c r="Q85" s="14">
        <v>39.979999999999997</v>
      </c>
      <c r="R85" s="14">
        <v>41.9</v>
      </c>
      <c r="S85" s="14">
        <v>3</v>
      </c>
      <c r="T85" s="14">
        <v>0</v>
      </c>
      <c r="U85" s="14" t="s">
        <v>42</v>
      </c>
      <c r="V85" s="14" t="s">
        <v>43</v>
      </c>
      <c r="W85" s="14" t="s">
        <v>62</v>
      </c>
      <c r="X85" s="14">
        <v>1</v>
      </c>
      <c r="Y85" s="14" t="s">
        <v>45</v>
      </c>
      <c r="Z85" s="17">
        <v>0.4375</v>
      </c>
      <c r="AA85" s="14">
        <v>1</v>
      </c>
      <c r="AB85" s="14">
        <v>1</v>
      </c>
      <c r="AC85" s="14">
        <v>2</v>
      </c>
      <c r="AD85" s="17">
        <f>IFERROR(Z85/(AA85*AB85)*AC85*AA85,"")</f>
        <v>0.875</v>
      </c>
      <c r="AE85" s="17">
        <f>Z85+AD85</f>
        <v>1.3125</v>
      </c>
      <c r="AF85" s="17"/>
      <c r="AG85" s="14">
        <f>AB85+AC85</f>
        <v>3</v>
      </c>
      <c r="AH85" s="18"/>
      <c r="AI85" s="19"/>
      <c r="AJ85" s="19"/>
      <c r="AK85" s="19"/>
      <c r="AL85" s="19"/>
      <c r="AM85" s="19"/>
    </row>
    <row r="86" spans="1:39" ht="15.75" customHeight="1">
      <c r="A86" s="2"/>
      <c r="B86" s="20" t="s">
        <v>270</v>
      </c>
      <c r="C86" s="14" t="s">
        <v>271</v>
      </c>
      <c r="D86" s="14" t="s">
        <v>78</v>
      </c>
      <c r="E86" s="14" t="s">
        <v>35</v>
      </c>
      <c r="F86" s="14">
        <v>10</v>
      </c>
      <c r="G86" s="15">
        <v>3.7</v>
      </c>
      <c r="H86" s="14" t="s">
        <v>36</v>
      </c>
      <c r="I86" s="14" t="s">
        <v>37</v>
      </c>
      <c r="J86" s="14" t="s">
        <v>40</v>
      </c>
      <c r="K86" s="16"/>
      <c r="L86" s="14" t="s">
        <v>39</v>
      </c>
      <c r="M86" s="14" t="s">
        <v>40</v>
      </c>
      <c r="N86" s="14" t="s">
        <v>40</v>
      </c>
      <c r="O86" s="14" t="s">
        <v>92</v>
      </c>
      <c r="P86" s="14">
        <v>69.13</v>
      </c>
      <c r="Q86" s="14">
        <v>40.909999999999997</v>
      </c>
      <c r="R86" s="14">
        <v>45.19</v>
      </c>
      <c r="S86" s="14">
        <v>1</v>
      </c>
      <c r="T86" s="14">
        <v>0</v>
      </c>
      <c r="U86" s="14" t="s">
        <v>42</v>
      </c>
      <c r="V86" s="14" t="s">
        <v>43</v>
      </c>
      <c r="W86" s="14" t="s">
        <v>44</v>
      </c>
      <c r="X86" s="14">
        <v>1</v>
      </c>
      <c r="Y86" s="14" t="s">
        <v>45</v>
      </c>
      <c r="Z86" s="17">
        <v>0.41666666666666669</v>
      </c>
      <c r="AA86" s="14">
        <v>1</v>
      </c>
      <c r="AB86" s="14">
        <v>1</v>
      </c>
      <c r="AC86" s="14">
        <v>2</v>
      </c>
      <c r="AD86" s="17">
        <f>IFERROR(Z86/(AA86*AB86)*AC86*AA86,"")</f>
        <v>0.83333333333333337</v>
      </c>
      <c r="AE86" s="17">
        <f>Z86+AD86</f>
        <v>1.25</v>
      </c>
      <c r="AF86" s="17"/>
      <c r="AG86" s="14">
        <f>AB86+AC86</f>
        <v>3</v>
      </c>
      <c r="AH86" s="18"/>
      <c r="AI86" s="19"/>
      <c r="AJ86" s="19"/>
      <c r="AK86" s="19"/>
      <c r="AL86" s="19"/>
      <c r="AM86" s="19"/>
    </row>
    <row r="87" spans="1:39" ht="15.75" customHeight="1">
      <c r="A87" s="2"/>
      <c r="B87" s="20" t="s">
        <v>272</v>
      </c>
      <c r="C87" s="14" t="s">
        <v>273</v>
      </c>
      <c r="D87" s="14" t="s">
        <v>78</v>
      </c>
      <c r="E87" s="14" t="s">
        <v>274</v>
      </c>
      <c r="F87" s="14">
        <v>14</v>
      </c>
      <c r="G87" s="15">
        <v>5.6</v>
      </c>
      <c r="H87" s="14" t="s">
        <v>58</v>
      </c>
      <c r="I87" s="14" t="s">
        <v>37</v>
      </c>
      <c r="J87" s="14" t="s">
        <v>40</v>
      </c>
      <c r="K87" s="16"/>
      <c r="L87" s="14" t="s">
        <v>122</v>
      </c>
      <c r="M87" s="14" t="s">
        <v>40</v>
      </c>
      <c r="N87" s="14" t="s">
        <v>40</v>
      </c>
      <c r="O87" s="14" t="s">
        <v>80</v>
      </c>
      <c r="P87" s="14">
        <v>71.7</v>
      </c>
      <c r="Q87" s="14">
        <v>40</v>
      </c>
      <c r="R87" s="14">
        <v>45</v>
      </c>
      <c r="S87" s="14">
        <v>1</v>
      </c>
      <c r="T87" s="14">
        <v>0</v>
      </c>
      <c r="U87" s="14" t="s">
        <v>123</v>
      </c>
      <c r="V87" s="14" t="s">
        <v>124</v>
      </c>
      <c r="W87" s="14" t="s">
        <v>44</v>
      </c>
      <c r="X87" s="14">
        <v>2</v>
      </c>
      <c r="Y87" s="14" t="s">
        <v>45</v>
      </c>
      <c r="Z87" s="17">
        <v>0.9</v>
      </c>
      <c r="AA87" s="14">
        <v>1</v>
      </c>
      <c r="AB87" s="14">
        <v>3</v>
      </c>
      <c r="AC87" s="14">
        <v>2</v>
      </c>
      <c r="AD87" s="17">
        <f>IFERROR(Z87/(AA87*AB87)*AC87*AA87,"")</f>
        <v>0.6</v>
      </c>
      <c r="AE87" s="17">
        <f>Z87+AD87</f>
        <v>1.5</v>
      </c>
      <c r="AF87" s="17"/>
      <c r="AG87" s="14">
        <f>AB87+AC87</f>
        <v>5</v>
      </c>
      <c r="AH87" s="18"/>
      <c r="AI87" s="19"/>
      <c r="AJ87" s="19"/>
      <c r="AK87" s="19"/>
      <c r="AL87" s="19"/>
      <c r="AM87" s="19"/>
    </row>
    <row r="88" spans="1:39" ht="15.75" customHeight="1">
      <c r="A88" s="2"/>
      <c r="B88" s="20" t="s">
        <v>275</v>
      </c>
      <c r="C88" s="14" t="s">
        <v>239</v>
      </c>
      <c r="D88" s="14" t="s">
        <v>70</v>
      </c>
      <c r="E88" s="14" t="s">
        <v>35</v>
      </c>
      <c r="F88" s="14">
        <v>16</v>
      </c>
      <c r="G88" s="15">
        <v>6.4</v>
      </c>
      <c r="H88" s="14" t="s">
        <v>58</v>
      </c>
      <c r="I88" s="14" t="s">
        <v>37</v>
      </c>
      <c r="J88" s="14" t="s">
        <v>38</v>
      </c>
      <c r="K88" s="16"/>
      <c r="L88" s="14" t="s">
        <v>39</v>
      </c>
      <c r="M88" s="14" t="s">
        <v>40</v>
      </c>
      <c r="N88" s="14" t="s">
        <v>38</v>
      </c>
      <c r="O88" s="14" t="s">
        <v>41</v>
      </c>
      <c r="P88" s="14">
        <v>71.7</v>
      </c>
      <c r="Q88" s="14">
        <v>40</v>
      </c>
      <c r="R88" s="14">
        <v>45</v>
      </c>
      <c r="S88" s="14">
        <v>1</v>
      </c>
      <c r="T88" s="14">
        <v>0</v>
      </c>
      <c r="U88" s="14" t="s">
        <v>42</v>
      </c>
      <c r="V88" s="14" t="s">
        <v>43</v>
      </c>
      <c r="W88" s="14" t="s">
        <v>44</v>
      </c>
      <c r="X88" s="14">
        <v>1</v>
      </c>
      <c r="Y88" s="14" t="s">
        <v>45</v>
      </c>
      <c r="Z88" s="17">
        <v>1.2465277777777777</v>
      </c>
      <c r="AA88" s="14">
        <v>3</v>
      </c>
      <c r="AB88" s="14">
        <v>3</v>
      </c>
      <c r="AC88" s="14">
        <v>2</v>
      </c>
      <c r="AD88" s="17">
        <f>IFERROR(Z88/(AA88*AB88)*AC88*AA88,"")</f>
        <v>0.83101851851851838</v>
      </c>
      <c r="AE88" s="17">
        <f>Z88+AD88</f>
        <v>2.0775462962962958</v>
      </c>
      <c r="AF88" s="17"/>
      <c r="AG88" s="14">
        <f>AB88+AC88</f>
        <v>5</v>
      </c>
      <c r="AH88" s="18"/>
      <c r="AI88" s="19"/>
      <c r="AJ88" s="19"/>
      <c r="AK88" s="19"/>
      <c r="AL88" s="19"/>
      <c r="AM88" s="19"/>
    </row>
    <row r="89" spans="1:39" ht="15.75" customHeight="1">
      <c r="A89" s="2"/>
      <c r="B89" s="20" t="s">
        <v>276</v>
      </c>
      <c r="C89" s="14" t="s">
        <v>277</v>
      </c>
      <c r="D89" s="14" t="s">
        <v>78</v>
      </c>
      <c r="E89" s="14" t="s">
        <v>193</v>
      </c>
      <c r="F89" s="14">
        <v>20</v>
      </c>
      <c r="G89" s="15">
        <v>9</v>
      </c>
      <c r="H89" s="14" t="s">
        <v>36</v>
      </c>
      <c r="I89" s="14" t="s">
        <v>37</v>
      </c>
      <c r="J89" s="14" t="s">
        <v>40</v>
      </c>
      <c r="K89" s="16"/>
      <c r="L89" s="14" t="s">
        <v>122</v>
      </c>
      <c r="M89" s="14" t="s">
        <v>40</v>
      </c>
      <c r="N89" s="14" t="s">
        <v>40</v>
      </c>
      <c r="O89" s="14" t="s">
        <v>135</v>
      </c>
      <c r="P89" s="14">
        <v>82.79</v>
      </c>
      <c r="Q89" s="14">
        <v>40.94</v>
      </c>
      <c r="R89" s="14">
        <v>55.12</v>
      </c>
      <c r="S89" s="14">
        <v>1</v>
      </c>
      <c r="T89" s="14">
        <v>0</v>
      </c>
      <c r="U89" s="14" t="s">
        <v>123</v>
      </c>
      <c r="V89" s="14" t="s">
        <v>124</v>
      </c>
      <c r="W89" s="14" t="s">
        <v>85</v>
      </c>
      <c r="X89" s="14">
        <v>1</v>
      </c>
      <c r="Y89" s="14" t="s">
        <v>45</v>
      </c>
      <c r="Z89" s="17">
        <v>0.77083333333333337</v>
      </c>
      <c r="AA89" s="14">
        <v>1</v>
      </c>
      <c r="AB89" s="14">
        <v>2</v>
      </c>
      <c r="AC89" s="14">
        <v>2</v>
      </c>
      <c r="AD89" s="17">
        <f>IFERROR(Z89/(AA89*AB89)*AC89*AA89,"")</f>
        <v>0.77083333333333337</v>
      </c>
      <c r="AE89" s="17">
        <f>Z89+AD89</f>
        <v>1.5416666666666667</v>
      </c>
      <c r="AF89" s="17"/>
      <c r="AG89" s="14">
        <f>AB89+AC89</f>
        <v>4</v>
      </c>
      <c r="AH89" s="18"/>
      <c r="AI89" s="19"/>
      <c r="AJ89" s="19"/>
      <c r="AK89" s="19"/>
      <c r="AL89" s="19"/>
      <c r="AM89" s="19"/>
    </row>
    <row r="90" spans="1:39" ht="15.75" customHeight="1">
      <c r="A90" s="2"/>
      <c r="B90" s="20" t="s">
        <v>278</v>
      </c>
      <c r="C90" s="14" t="s">
        <v>33</v>
      </c>
      <c r="D90" s="14" t="s">
        <v>169</v>
      </c>
      <c r="E90" s="14" t="s">
        <v>232</v>
      </c>
      <c r="F90" s="14">
        <v>56</v>
      </c>
      <c r="G90" s="15">
        <v>20.72</v>
      </c>
      <c r="H90" s="14" t="s">
        <v>36</v>
      </c>
      <c r="I90" s="14" t="s">
        <v>37</v>
      </c>
      <c r="J90" s="14" t="s">
        <v>38</v>
      </c>
      <c r="K90" s="16"/>
      <c r="L90" s="14" t="s">
        <v>39</v>
      </c>
      <c r="M90" s="14" t="s">
        <v>40</v>
      </c>
      <c r="N90" s="14" t="s">
        <v>40</v>
      </c>
      <c r="O90" s="14" t="s">
        <v>135</v>
      </c>
      <c r="P90" s="14">
        <v>67.8</v>
      </c>
      <c r="Q90" s="14">
        <v>40</v>
      </c>
      <c r="R90" s="14">
        <v>43</v>
      </c>
      <c r="S90" s="14">
        <v>7</v>
      </c>
      <c r="T90" s="14">
        <v>0</v>
      </c>
      <c r="U90" s="14" t="s">
        <v>42</v>
      </c>
      <c r="V90" s="14" t="s">
        <v>43</v>
      </c>
      <c r="W90" s="14" t="s">
        <v>44</v>
      </c>
      <c r="X90" s="14">
        <v>2</v>
      </c>
      <c r="Y90" s="14" t="s">
        <v>45</v>
      </c>
      <c r="Z90" s="17">
        <v>1.825</v>
      </c>
      <c r="AA90" s="14">
        <v>5</v>
      </c>
      <c r="AB90" s="14">
        <v>1</v>
      </c>
      <c r="AC90" s="14">
        <v>2</v>
      </c>
      <c r="AD90" s="17">
        <f>IFERROR(Z90/(AA90*AB90)*AC90*AA90,"")</f>
        <v>3.65</v>
      </c>
      <c r="AE90" s="17">
        <f>Z90+AD90</f>
        <v>5.4749999999999996</v>
      </c>
      <c r="AF90" s="17"/>
      <c r="AG90" s="14">
        <f>AB90+AC90</f>
        <v>3</v>
      </c>
      <c r="AH90" s="18"/>
      <c r="AI90" s="19"/>
      <c r="AJ90" s="19"/>
      <c r="AK90" s="19"/>
      <c r="AL90" s="19"/>
      <c r="AM90" s="19"/>
    </row>
    <row r="91" spans="1:39" ht="15.75" customHeight="1">
      <c r="A91" s="2"/>
      <c r="B91" s="20" t="s">
        <v>279</v>
      </c>
      <c r="C91" s="14" t="s">
        <v>33</v>
      </c>
      <c r="D91" s="14" t="s">
        <v>169</v>
      </c>
      <c r="E91" s="14" t="s">
        <v>209</v>
      </c>
      <c r="F91" s="14">
        <v>24</v>
      </c>
      <c r="G91" s="15">
        <v>8.8800000000000008</v>
      </c>
      <c r="H91" s="14" t="s">
        <v>58</v>
      </c>
      <c r="I91" s="14" t="s">
        <v>37</v>
      </c>
      <c r="J91" s="14" t="s">
        <v>40</v>
      </c>
      <c r="K91" s="16"/>
      <c r="L91" s="14" t="s">
        <v>39</v>
      </c>
      <c r="M91" s="14" t="s">
        <v>40</v>
      </c>
      <c r="N91" s="14" t="s">
        <v>40</v>
      </c>
      <c r="O91" s="14" t="s">
        <v>41</v>
      </c>
      <c r="P91" s="14">
        <v>68.5</v>
      </c>
      <c r="Q91" s="14">
        <v>41.01</v>
      </c>
      <c r="R91" s="14">
        <v>41.02</v>
      </c>
      <c r="S91" s="14">
        <v>1</v>
      </c>
      <c r="T91" s="14">
        <v>0</v>
      </c>
      <c r="U91" s="14" t="s">
        <v>42</v>
      </c>
      <c r="V91" s="14" t="s">
        <v>43</v>
      </c>
      <c r="W91" s="14" t="s">
        <v>44</v>
      </c>
      <c r="X91" s="14">
        <v>1</v>
      </c>
      <c r="Y91" s="14" t="s">
        <v>45</v>
      </c>
      <c r="Z91" s="17">
        <v>0.76041666666666663</v>
      </c>
      <c r="AA91" s="14">
        <v>1</v>
      </c>
      <c r="AB91" s="14">
        <v>2</v>
      </c>
      <c r="AC91" s="14">
        <v>2</v>
      </c>
      <c r="AD91" s="17">
        <f>IFERROR(Z91/(AA91*AB91)*AC91*AA91,"")</f>
        <v>0.76041666666666663</v>
      </c>
      <c r="AE91" s="17">
        <f>Z91+AD91</f>
        <v>1.5208333333333333</v>
      </c>
      <c r="AF91" s="17"/>
      <c r="AG91" s="14">
        <f>AB91+AC91</f>
        <v>4</v>
      </c>
      <c r="AH91" s="18"/>
      <c r="AI91" s="19"/>
      <c r="AJ91" s="19"/>
      <c r="AK91" s="19"/>
      <c r="AL91" s="19"/>
      <c r="AM91" s="19"/>
    </row>
    <row r="92" spans="1:39" ht="15.75" customHeight="1">
      <c r="A92" s="2"/>
      <c r="B92" s="20" t="s">
        <v>280</v>
      </c>
      <c r="C92" s="14" t="s">
        <v>109</v>
      </c>
      <c r="D92" s="14" t="s">
        <v>70</v>
      </c>
      <c r="E92" s="14" t="s">
        <v>281</v>
      </c>
      <c r="F92" s="14">
        <v>26</v>
      </c>
      <c r="G92" s="15">
        <v>9.6199999999999992</v>
      </c>
      <c r="H92" s="14" t="s">
        <v>58</v>
      </c>
      <c r="I92" s="14" t="s">
        <v>37</v>
      </c>
      <c r="J92" s="14" t="s">
        <v>38</v>
      </c>
      <c r="K92" s="16"/>
      <c r="L92" s="14" t="s">
        <v>39</v>
      </c>
      <c r="M92" s="14" t="s">
        <v>40</v>
      </c>
      <c r="N92" s="14" t="s">
        <v>38</v>
      </c>
      <c r="O92" s="14" t="s">
        <v>80</v>
      </c>
      <c r="P92" s="14">
        <v>69.13</v>
      </c>
      <c r="Q92" s="14">
        <v>40.909999999999997</v>
      </c>
      <c r="R92" s="14">
        <v>45.19</v>
      </c>
      <c r="S92" s="14">
        <v>2</v>
      </c>
      <c r="T92" s="14">
        <v>0</v>
      </c>
      <c r="U92" s="14" t="s">
        <v>42</v>
      </c>
      <c r="V92" s="14" t="s">
        <v>43</v>
      </c>
      <c r="W92" s="14" t="s">
        <v>44</v>
      </c>
      <c r="X92" s="14">
        <v>1</v>
      </c>
      <c r="Y92" s="14" t="s">
        <v>114</v>
      </c>
      <c r="Z92" s="21">
        <v>0.13194444444444445</v>
      </c>
      <c r="AA92" s="22">
        <v>1</v>
      </c>
      <c r="AB92" s="22">
        <v>1</v>
      </c>
      <c r="AC92" s="14">
        <v>2</v>
      </c>
      <c r="AD92" s="17">
        <f>IFERROR(Z92/(AA92*AB92)*AC92*AA92,"")</f>
        <v>0.2638888888888889</v>
      </c>
      <c r="AE92" s="17">
        <f>Z92+AD92</f>
        <v>0.39583333333333337</v>
      </c>
      <c r="AF92" s="17"/>
      <c r="AG92" s="14">
        <f>AB92+AC92</f>
        <v>3</v>
      </c>
      <c r="AH92" s="18" t="s">
        <v>255</v>
      </c>
      <c r="AI92" s="19"/>
      <c r="AJ92" s="19"/>
      <c r="AK92" s="19"/>
      <c r="AL92" s="19"/>
      <c r="AM92" s="19"/>
    </row>
    <row r="93" spans="1:39" ht="15.75" customHeight="1">
      <c r="A93" s="2"/>
      <c r="B93" s="20" t="s">
        <v>282</v>
      </c>
      <c r="C93" s="14" t="s">
        <v>143</v>
      </c>
      <c r="D93" s="14" t="s">
        <v>52</v>
      </c>
      <c r="E93" s="14" t="s">
        <v>283</v>
      </c>
      <c r="F93" s="14">
        <v>27</v>
      </c>
      <c r="G93" s="15">
        <v>10.8</v>
      </c>
      <c r="H93" s="14" t="s">
        <v>58</v>
      </c>
      <c r="I93" s="14" t="s">
        <v>37</v>
      </c>
      <c r="J93" s="14" t="s">
        <v>38</v>
      </c>
      <c r="K93" s="16"/>
      <c r="L93" s="14" t="s">
        <v>39</v>
      </c>
      <c r="M93" s="14" t="s">
        <v>40</v>
      </c>
      <c r="N93" s="14" t="s">
        <v>40</v>
      </c>
      <c r="O93" s="14" t="s">
        <v>41</v>
      </c>
      <c r="P93" s="14">
        <v>71.7</v>
      </c>
      <c r="Q93" s="14">
        <v>40</v>
      </c>
      <c r="R93" s="14">
        <v>45</v>
      </c>
      <c r="S93" s="14">
        <v>3</v>
      </c>
      <c r="T93" s="14">
        <v>0</v>
      </c>
      <c r="U93" s="14" t="s">
        <v>42</v>
      </c>
      <c r="V93" s="14" t="s">
        <v>43</v>
      </c>
      <c r="W93" s="14" t="s">
        <v>44</v>
      </c>
      <c r="X93" s="14">
        <v>2</v>
      </c>
      <c r="Y93" s="14" t="s">
        <v>114</v>
      </c>
      <c r="Z93" s="17">
        <v>1.5173611111111112</v>
      </c>
      <c r="AA93" s="14">
        <v>2</v>
      </c>
      <c r="AB93" s="14">
        <v>2</v>
      </c>
      <c r="AC93" s="14">
        <v>2</v>
      </c>
      <c r="AD93" s="17">
        <f>IFERROR(Z93/(AA93*AB93)*AC93*AA93,"")</f>
        <v>1.5173611111111112</v>
      </c>
      <c r="AE93" s="17">
        <f>Z93+AD93</f>
        <v>3.0347222222222223</v>
      </c>
      <c r="AF93" s="17"/>
      <c r="AG93" s="14">
        <f>AB93+AC93</f>
        <v>4</v>
      </c>
      <c r="AH93" s="18"/>
      <c r="AI93" s="19"/>
      <c r="AJ93" s="19"/>
      <c r="AK93" s="19"/>
      <c r="AL93" s="19"/>
      <c r="AM93" s="19"/>
    </row>
    <row r="94" spans="1:39" ht="15.75" customHeight="1">
      <c r="A94" s="2"/>
      <c r="B94" s="23" t="s">
        <v>284</v>
      </c>
      <c r="C94" s="24" t="s">
        <v>285</v>
      </c>
      <c r="D94" s="24" t="s">
        <v>52</v>
      </c>
      <c r="E94" s="24" t="s">
        <v>286</v>
      </c>
      <c r="F94" s="24">
        <v>37</v>
      </c>
      <c r="G94" s="25">
        <v>13.69</v>
      </c>
      <c r="H94" s="24" t="s">
        <v>58</v>
      </c>
      <c r="I94" s="24" t="s">
        <v>37</v>
      </c>
      <c r="J94" s="24" t="s">
        <v>40</v>
      </c>
      <c r="K94" s="24" t="s">
        <v>38</v>
      </c>
      <c r="L94" s="24" t="s">
        <v>39</v>
      </c>
      <c r="M94" s="24" t="s">
        <v>40</v>
      </c>
      <c r="N94" s="24" t="s">
        <v>40</v>
      </c>
      <c r="O94" s="24" t="s">
        <v>146</v>
      </c>
      <c r="P94" s="24">
        <v>69.400000000000006</v>
      </c>
      <c r="Q94" s="24">
        <v>40.799999999999997</v>
      </c>
      <c r="R94" s="24">
        <v>43</v>
      </c>
      <c r="S94" s="24">
        <v>5</v>
      </c>
      <c r="T94" s="24">
        <v>0</v>
      </c>
      <c r="U94" s="24" t="s">
        <v>42</v>
      </c>
      <c r="V94" s="24" t="s">
        <v>43</v>
      </c>
      <c r="W94" s="24" t="s">
        <v>44</v>
      </c>
      <c r="X94" s="24">
        <v>2</v>
      </c>
      <c r="Y94" s="24" t="s">
        <v>45</v>
      </c>
      <c r="Z94" s="26">
        <v>2</v>
      </c>
      <c r="AA94" s="24">
        <v>3</v>
      </c>
      <c r="AB94" s="24">
        <v>3</v>
      </c>
      <c r="AC94" s="24">
        <v>1</v>
      </c>
      <c r="AD94" s="26">
        <f>IFERROR(Z94/(AA94*AB94)*AC94*AA94,"")</f>
        <v>0.66666666666666663</v>
      </c>
      <c r="AE94" s="26">
        <f>Z94+AD94</f>
        <v>2.6666666666666665</v>
      </c>
      <c r="AF94" s="26"/>
      <c r="AG94" s="24">
        <f>AB94+AC94</f>
        <v>4</v>
      </c>
      <c r="AH94" s="27" t="s">
        <v>287</v>
      </c>
      <c r="AI94" s="19"/>
      <c r="AJ94" s="19"/>
      <c r="AK94" s="19"/>
      <c r="AL94" s="19"/>
      <c r="AM94" s="19"/>
    </row>
    <row r="95" spans="1:39" ht="15.75" customHeight="1">
      <c r="A95" s="2"/>
      <c r="B95" s="20" t="s">
        <v>288</v>
      </c>
      <c r="C95" s="14" t="s">
        <v>285</v>
      </c>
      <c r="D95" s="14" t="s">
        <v>169</v>
      </c>
      <c r="E95" s="14" t="s">
        <v>35</v>
      </c>
      <c r="F95" s="14">
        <v>14</v>
      </c>
      <c r="G95" s="15">
        <v>5.6</v>
      </c>
      <c r="H95" s="14" t="s">
        <v>58</v>
      </c>
      <c r="I95" s="14" t="s">
        <v>37</v>
      </c>
      <c r="J95" s="14" t="s">
        <v>38</v>
      </c>
      <c r="K95" s="14" t="s">
        <v>40</v>
      </c>
      <c r="L95" s="14" t="s">
        <v>50</v>
      </c>
      <c r="M95" s="14" t="s">
        <v>38</v>
      </c>
      <c r="N95" s="14" t="s">
        <v>40</v>
      </c>
      <c r="O95" s="14" t="s">
        <v>75</v>
      </c>
      <c r="P95" s="14">
        <v>71.7</v>
      </c>
      <c r="Q95" s="14">
        <v>40</v>
      </c>
      <c r="R95" s="14">
        <v>45</v>
      </c>
      <c r="S95" s="14">
        <v>1</v>
      </c>
      <c r="T95" s="14">
        <v>1</v>
      </c>
      <c r="U95" s="14" t="s">
        <v>42</v>
      </c>
      <c r="V95" s="14" t="s">
        <v>43</v>
      </c>
      <c r="W95" s="14" t="s">
        <v>44</v>
      </c>
      <c r="X95" s="14">
        <v>1</v>
      </c>
      <c r="Y95" s="14" t="s">
        <v>222</v>
      </c>
      <c r="Z95" s="17">
        <v>0.61458333333333337</v>
      </c>
      <c r="AA95" s="14">
        <v>2</v>
      </c>
      <c r="AB95" s="14">
        <v>2</v>
      </c>
      <c r="AC95" s="14">
        <v>1</v>
      </c>
      <c r="AD95" s="17">
        <f>IFERROR(Z95/(AA95*AB95)*AC95*AA95,"")</f>
        <v>0.30729166666666669</v>
      </c>
      <c r="AE95" s="17">
        <f>Z95+AD95</f>
        <v>0.921875</v>
      </c>
      <c r="AF95" s="17"/>
      <c r="AG95" s="14">
        <f>AB95+AC95</f>
        <v>3</v>
      </c>
      <c r="AH95" s="18"/>
      <c r="AI95" s="19"/>
      <c r="AJ95" s="19"/>
      <c r="AK95" s="19"/>
      <c r="AL95" s="19"/>
      <c r="AM95" s="19"/>
    </row>
    <row r="96" spans="1:39" ht="15.75" customHeight="1">
      <c r="A96" s="2"/>
      <c r="B96" s="20" t="s">
        <v>289</v>
      </c>
      <c r="C96" s="14" t="s">
        <v>183</v>
      </c>
      <c r="D96" s="14" t="s">
        <v>154</v>
      </c>
      <c r="E96" s="14" t="s">
        <v>35</v>
      </c>
      <c r="F96" s="14">
        <v>21</v>
      </c>
      <c r="G96" s="15">
        <v>8.4</v>
      </c>
      <c r="H96" s="14" t="s">
        <v>58</v>
      </c>
      <c r="I96" s="14" t="s">
        <v>37</v>
      </c>
      <c r="J96" s="14" t="s">
        <v>38</v>
      </c>
      <c r="K96" s="14" t="s">
        <v>38</v>
      </c>
      <c r="L96" s="14" t="s">
        <v>39</v>
      </c>
      <c r="M96" s="14" t="s">
        <v>40</v>
      </c>
      <c r="N96" s="14" t="s">
        <v>40</v>
      </c>
      <c r="O96" s="14" t="s">
        <v>290</v>
      </c>
      <c r="P96" s="14">
        <v>71.7</v>
      </c>
      <c r="Q96" s="14">
        <v>40</v>
      </c>
      <c r="R96" s="14">
        <v>45</v>
      </c>
      <c r="S96" s="14">
        <v>2</v>
      </c>
      <c r="T96" s="14">
        <v>0</v>
      </c>
      <c r="U96" s="14" t="s">
        <v>42</v>
      </c>
      <c r="V96" s="14" t="s">
        <v>43</v>
      </c>
      <c r="W96" s="14" t="s">
        <v>44</v>
      </c>
      <c r="X96" s="14">
        <v>2</v>
      </c>
      <c r="Y96" s="14" t="s">
        <v>45</v>
      </c>
      <c r="Z96" s="17">
        <v>1.5104166666666667</v>
      </c>
      <c r="AA96" s="14">
        <v>2</v>
      </c>
      <c r="AB96" s="14">
        <v>2</v>
      </c>
      <c r="AC96" s="14">
        <v>0</v>
      </c>
      <c r="AD96" s="17">
        <f>IFERROR(Z96/(AA96*AB96)*AC96*AA96,"")</f>
        <v>0</v>
      </c>
      <c r="AE96" s="17">
        <f>Z96+AD96</f>
        <v>1.5104166666666667</v>
      </c>
      <c r="AF96" s="17"/>
      <c r="AG96" s="14">
        <f>AB96+AC96</f>
        <v>2</v>
      </c>
      <c r="AH96" s="18"/>
      <c r="AI96" s="19"/>
      <c r="AJ96" s="19"/>
      <c r="AK96" s="19"/>
      <c r="AL96" s="19"/>
      <c r="AM96" s="19"/>
    </row>
    <row r="97" spans="1:39" ht="15.75" customHeight="1">
      <c r="A97" s="2"/>
      <c r="B97" s="20" t="s">
        <v>291</v>
      </c>
      <c r="C97" s="14" t="s">
        <v>47</v>
      </c>
      <c r="D97" s="14" t="s">
        <v>211</v>
      </c>
      <c r="E97" s="14" t="s">
        <v>35</v>
      </c>
      <c r="F97" s="14">
        <v>18</v>
      </c>
      <c r="G97" s="15">
        <v>7.2</v>
      </c>
      <c r="H97" s="14" t="s">
        <v>58</v>
      </c>
      <c r="I97" s="14" t="s">
        <v>37</v>
      </c>
      <c r="J97" s="14" t="s">
        <v>38</v>
      </c>
      <c r="K97" s="14" t="s">
        <v>38</v>
      </c>
      <c r="L97" s="14" t="s">
        <v>50</v>
      </c>
      <c r="M97" s="14" t="s">
        <v>38</v>
      </c>
      <c r="N97" s="14" t="s">
        <v>40</v>
      </c>
      <c r="O97" s="14" t="s">
        <v>146</v>
      </c>
      <c r="P97" s="14">
        <v>71.7</v>
      </c>
      <c r="Q97" s="14">
        <v>40</v>
      </c>
      <c r="R97" s="14">
        <v>45</v>
      </c>
      <c r="S97" s="14">
        <v>1</v>
      </c>
      <c r="T97" s="14">
        <v>23</v>
      </c>
      <c r="U97" s="14" t="s">
        <v>42</v>
      </c>
      <c r="V97" s="14" t="s">
        <v>43</v>
      </c>
      <c r="W97" s="14" t="s">
        <v>44</v>
      </c>
      <c r="X97" s="14">
        <v>1</v>
      </c>
      <c r="Y97" s="14" t="s">
        <v>222</v>
      </c>
      <c r="Z97" s="17">
        <v>3.2777777777777777</v>
      </c>
      <c r="AA97" s="14">
        <v>4</v>
      </c>
      <c r="AB97" s="14">
        <v>3</v>
      </c>
      <c r="AC97" s="14">
        <v>1</v>
      </c>
      <c r="AD97" s="17">
        <f>IFERROR(Z97/(AA97*AB97)*AC97*AA97,"")</f>
        <v>1.0925925925925926</v>
      </c>
      <c r="AE97" s="17">
        <f>Z97+AD97</f>
        <v>4.3703703703703702</v>
      </c>
      <c r="AF97" s="17"/>
      <c r="AG97" s="14">
        <f>AB97+AC97</f>
        <v>4</v>
      </c>
      <c r="AH97" s="18"/>
      <c r="AI97" s="19"/>
      <c r="AJ97" s="19"/>
      <c r="AK97" s="19"/>
      <c r="AL97" s="19"/>
      <c r="AM97" s="19"/>
    </row>
    <row r="98" spans="1:39" ht="15.75" customHeight="1">
      <c r="A98" s="2"/>
      <c r="B98" s="20" t="s">
        <v>292</v>
      </c>
      <c r="C98" s="14" t="s">
        <v>97</v>
      </c>
      <c r="D98" s="14" t="s">
        <v>169</v>
      </c>
      <c r="E98" s="14" t="s">
        <v>172</v>
      </c>
      <c r="F98" s="14">
        <v>18</v>
      </c>
      <c r="G98" s="15">
        <v>8.1</v>
      </c>
      <c r="H98" s="14" t="s">
        <v>36</v>
      </c>
      <c r="I98" s="14" t="s">
        <v>37</v>
      </c>
      <c r="J98" s="14" t="s">
        <v>38</v>
      </c>
      <c r="K98" s="14" t="s">
        <v>40</v>
      </c>
      <c r="L98" s="14" t="s">
        <v>50</v>
      </c>
      <c r="M98" s="14" t="s">
        <v>40</v>
      </c>
      <c r="N98" s="14" t="s">
        <v>40</v>
      </c>
      <c r="O98" s="14" t="s">
        <v>135</v>
      </c>
      <c r="P98" s="14">
        <v>82.79</v>
      </c>
      <c r="Q98" s="14">
        <v>40.94</v>
      </c>
      <c r="R98" s="14">
        <v>55.12</v>
      </c>
      <c r="S98" s="14">
        <v>4</v>
      </c>
      <c r="T98" s="14">
        <v>0</v>
      </c>
      <c r="U98" s="14" t="s">
        <v>42</v>
      </c>
      <c r="V98" s="14" t="s">
        <v>43</v>
      </c>
      <c r="W98" s="14" t="s">
        <v>44</v>
      </c>
      <c r="X98" s="14">
        <v>1</v>
      </c>
      <c r="Y98" s="14" t="s">
        <v>45</v>
      </c>
      <c r="Z98" s="17">
        <v>1.8541666666666667</v>
      </c>
      <c r="AA98" s="14">
        <v>3</v>
      </c>
      <c r="AB98" s="14">
        <v>3</v>
      </c>
      <c r="AC98" s="14">
        <v>0</v>
      </c>
      <c r="AD98" s="17">
        <f>IFERROR(Z98/(AA98*AB98)*AC98*AA98,"")</f>
        <v>0</v>
      </c>
      <c r="AE98" s="17">
        <f>Z98+AD98</f>
        <v>1.8541666666666667</v>
      </c>
      <c r="AF98" s="17"/>
      <c r="AG98" s="14">
        <f>AB98+AC98</f>
        <v>3</v>
      </c>
      <c r="AH98" s="18"/>
      <c r="AI98" s="19"/>
      <c r="AJ98" s="19"/>
      <c r="AK98" s="19"/>
      <c r="AL98" s="19"/>
      <c r="AM98" s="19"/>
    </row>
    <row r="99" spans="1:39" ht="15.75" customHeight="1">
      <c r="A99" s="2"/>
      <c r="B99" s="20" t="s">
        <v>293</v>
      </c>
      <c r="C99" s="14" t="s">
        <v>285</v>
      </c>
      <c r="D99" s="14" t="s">
        <v>294</v>
      </c>
      <c r="E99" s="14" t="s">
        <v>111</v>
      </c>
      <c r="F99" s="14">
        <v>26</v>
      </c>
      <c r="G99" s="15">
        <v>10.4</v>
      </c>
      <c r="H99" s="14" t="s">
        <v>58</v>
      </c>
      <c r="I99" s="14" t="s">
        <v>37</v>
      </c>
      <c r="J99" s="14" t="s">
        <v>38</v>
      </c>
      <c r="K99" s="14" t="s">
        <v>38</v>
      </c>
      <c r="L99" s="14" t="s">
        <v>39</v>
      </c>
      <c r="M99" s="14" t="s">
        <v>40</v>
      </c>
      <c r="N99" s="14" t="s">
        <v>40</v>
      </c>
      <c r="O99" s="14" t="s">
        <v>41</v>
      </c>
      <c r="P99" s="14">
        <v>71.7</v>
      </c>
      <c r="Q99" s="14">
        <v>40</v>
      </c>
      <c r="R99" s="14">
        <v>45</v>
      </c>
      <c r="S99" s="14">
        <v>3</v>
      </c>
      <c r="T99" s="14">
        <v>0</v>
      </c>
      <c r="U99" s="14" t="s">
        <v>42</v>
      </c>
      <c r="V99" s="14" t="s">
        <v>43</v>
      </c>
      <c r="W99" s="14" t="s">
        <v>44</v>
      </c>
      <c r="X99" s="14">
        <v>2</v>
      </c>
      <c r="Y99" s="14" t="s">
        <v>147</v>
      </c>
      <c r="Z99" s="17">
        <v>2.8958333333333335</v>
      </c>
      <c r="AA99" s="14">
        <v>2</v>
      </c>
      <c r="AB99" s="14">
        <v>4</v>
      </c>
      <c r="AC99" s="14">
        <v>0</v>
      </c>
      <c r="AD99" s="17">
        <f>IFERROR(Z99/(AA99*AB99)*AC99*AA99,"")</f>
        <v>0</v>
      </c>
      <c r="AE99" s="17">
        <f>Z99+AD99</f>
        <v>2.8958333333333335</v>
      </c>
      <c r="AF99" s="17"/>
      <c r="AG99" s="14">
        <f>AB99+AC99</f>
        <v>4</v>
      </c>
      <c r="AH99" s="18" t="s">
        <v>295</v>
      </c>
      <c r="AI99" s="19"/>
      <c r="AJ99" s="19"/>
      <c r="AK99" s="19"/>
      <c r="AL99" s="19"/>
      <c r="AM99" s="19"/>
    </row>
    <row r="100" spans="1:39" ht="15.75" customHeight="1">
      <c r="A100" s="2"/>
      <c r="B100" s="20" t="s">
        <v>296</v>
      </c>
      <c r="C100" s="14" t="s">
        <v>77</v>
      </c>
      <c r="D100" s="14" t="s">
        <v>297</v>
      </c>
      <c r="E100" s="14" t="s">
        <v>298</v>
      </c>
      <c r="F100" s="14">
        <v>24</v>
      </c>
      <c r="G100" s="15">
        <v>9.36</v>
      </c>
      <c r="H100" s="14" t="s">
        <v>36</v>
      </c>
      <c r="I100" s="14" t="s">
        <v>37</v>
      </c>
      <c r="J100" s="14" t="s">
        <v>38</v>
      </c>
      <c r="K100" s="14" t="s">
        <v>40</v>
      </c>
      <c r="L100" s="14" t="s">
        <v>39</v>
      </c>
      <c r="M100" s="14" t="s">
        <v>40</v>
      </c>
      <c r="N100" s="14" t="s">
        <v>40</v>
      </c>
      <c r="O100" s="14" t="s">
        <v>41</v>
      </c>
      <c r="P100" s="14">
        <v>69.06</v>
      </c>
      <c r="Q100" s="14">
        <v>43.15</v>
      </c>
      <c r="R100" s="14">
        <v>46.3</v>
      </c>
      <c r="S100" s="14">
        <v>3</v>
      </c>
      <c r="T100" s="14">
        <v>0</v>
      </c>
      <c r="U100" s="14" t="s">
        <v>42</v>
      </c>
      <c r="V100" s="14" t="s">
        <v>43</v>
      </c>
      <c r="W100" s="14" t="s">
        <v>44</v>
      </c>
      <c r="X100" s="14">
        <v>2</v>
      </c>
      <c r="Y100" s="14" t="s">
        <v>45</v>
      </c>
      <c r="Z100" s="17">
        <v>3.5</v>
      </c>
      <c r="AA100" s="14">
        <v>5</v>
      </c>
      <c r="AB100" s="14">
        <v>4</v>
      </c>
      <c r="AC100" s="14">
        <v>0</v>
      </c>
      <c r="AD100" s="17">
        <f>IFERROR(Z100/(AA100*AB100)*AC100*AA100,"")</f>
        <v>0</v>
      </c>
      <c r="AE100" s="17">
        <f>Z100+AD100</f>
        <v>3.5</v>
      </c>
      <c r="AF100" s="17"/>
      <c r="AG100" s="14">
        <f>AB100+AC100</f>
        <v>4</v>
      </c>
      <c r="AH100" s="18" t="s">
        <v>299</v>
      </c>
      <c r="AI100" s="19"/>
      <c r="AJ100" s="19"/>
      <c r="AK100" s="19"/>
      <c r="AL100" s="19"/>
      <c r="AM100" s="19"/>
    </row>
    <row r="101" spans="1:39" ht="15.75" customHeight="1">
      <c r="A101" s="2"/>
      <c r="B101" s="20" t="s">
        <v>300</v>
      </c>
      <c r="C101" s="14" t="s">
        <v>69</v>
      </c>
      <c r="D101" s="14" t="s">
        <v>70</v>
      </c>
      <c r="E101" s="14" t="s">
        <v>121</v>
      </c>
      <c r="F101" s="14">
        <v>17</v>
      </c>
      <c r="G101" s="15">
        <v>6.63</v>
      </c>
      <c r="H101" s="14" t="s">
        <v>36</v>
      </c>
      <c r="I101" s="14" t="s">
        <v>37</v>
      </c>
      <c r="J101" s="14" t="s">
        <v>40</v>
      </c>
      <c r="K101" s="14" t="s">
        <v>40</v>
      </c>
      <c r="L101" s="14" t="s">
        <v>39</v>
      </c>
      <c r="M101" s="14" t="s">
        <v>40</v>
      </c>
      <c r="N101" s="14" t="s">
        <v>40</v>
      </c>
      <c r="O101" s="14" t="s">
        <v>41</v>
      </c>
      <c r="P101" s="14">
        <v>69.06</v>
      </c>
      <c r="Q101" s="14">
        <v>43.15</v>
      </c>
      <c r="R101" s="14">
        <v>46.3</v>
      </c>
      <c r="S101" s="14">
        <v>1</v>
      </c>
      <c r="T101" s="14">
        <v>0</v>
      </c>
      <c r="U101" s="14" t="s">
        <v>42</v>
      </c>
      <c r="V101" s="14" t="s">
        <v>43</v>
      </c>
      <c r="W101" s="14" t="s">
        <v>44</v>
      </c>
      <c r="X101" s="14">
        <v>2</v>
      </c>
      <c r="Y101" s="14" t="s">
        <v>45</v>
      </c>
      <c r="Z101" s="17">
        <v>2.1944444444444446</v>
      </c>
      <c r="AA101" s="14">
        <v>3</v>
      </c>
      <c r="AB101" s="14">
        <v>3</v>
      </c>
      <c r="AC101" s="14">
        <v>0</v>
      </c>
      <c r="AD101" s="17">
        <f>IFERROR(Z101/(AA101*AB101)*AC101*AA101,"")</f>
        <v>0</v>
      </c>
      <c r="AE101" s="17">
        <f>Z101+AD101</f>
        <v>2.1944444444444446</v>
      </c>
      <c r="AF101" s="17"/>
      <c r="AG101" s="14">
        <f>AB101+AC101</f>
        <v>3</v>
      </c>
      <c r="AH101" s="18"/>
      <c r="AI101" s="19"/>
      <c r="AJ101" s="19"/>
      <c r="AK101" s="19"/>
      <c r="AL101" s="19"/>
      <c r="AM101" s="19"/>
    </row>
    <row r="102" spans="1:39" ht="15.75" customHeight="1">
      <c r="A102" s="2"/>
      <c r="B102" s="20" t="s">
        <v>301</v>
      </c>
      <c r="C102" s="14" t="s">
        <v>87</v>
      </c>
      <c r="D102" s="14" t="s">
        <v>159</v>
      </c>
      <c r="E102" s="14" t="s">
        <v>74</v>
      </c>
      <c r="F102" s="14">
        <v>15</v>
      </c>
      <c r="G102" s="15">
        <v>5.85</v>
      </c>
      <c r="H102" s="14" t="s">
        <v>36</v>
      </c>
      <c r="I102" s="14" t="s">
        <v>37</v>
      </c>
      <c r="J102" s="14" t="s">
        <v>40</v>
      </c>
      <c r="K102" s="14" t="s">
        <v>40</v>
      </c>
      <c r="L102" s="14" t="s">
        <v>39</v>
      </c>
      <c r="M102" s="14" t="s">
        <v>40</v>
      </c>
      <c r="N102" s="14" t="s">
        <v>40</v>
      </c>
      <c r="O102" s="14" t="s">
        <v>290</v>
      </c>
      <c r="P102" s="14">
        <v>69.06</v>
      </c>
      <c r="Q102" s="14">
        <v>43.15</v>
      </c>
      <c r="R102" s="14">
        <v>46.3</v>
      </c>
      <c r="S102" s="14">
        <v>2</v>
      </c>
      <c r="T102" s="14">
        <v>0</v>
      </c>
      <c r="U102" s="14" t="s">
        <v>42</v>
      </c>
      <c r="V102" s="14" t="s">
        <v>43</v>
      </c>
      <c r="W102" s="14" t="s">
        <v>44</v>
      </c>
      <c r="X102" s="14">
        <v>1</v>
      </c>
      <c r="Y102" s="14" t="s">
        <v>45</v>
      </c>
      <c r="Z102" s="17">
        <v>0.88541666666666663</v>
      </c>
      <c r="AA102" s="14">
        <v>1</v>
      </c>
      <c r="AB102" s="14">
        <v>2</v>
      </c>
      <c r="AC102" s="14">
        <v>0</v>
      </c>
      <c r="AD102" s="17">
        <f>IFERROR(Z102/(AA102*AB102)*AC102*AA102,"")</f>
        <v>0</v>
      </c>
      <c r="AE102" s="17">
        <f>Z102+AD102</f>
        <v>0.88541666666666663</v>
      </c>
      <c r="AF102" s="17"/>
      <c r="AG102" s="14">
        <f>AB102+AC102</f>
        <v>2</v>
      </c>
      <c r="AH102" s="18"/>
      <c r="AI102" s="19"/>
      <c r="AJ102" s="19"/>
      <c r="AK102" s="19"/>
      <c r="AL102" s="19"/>
      <c r="AM102" s="19"/>
    </row>
    <row r="103" spans="1:39" ht="15.75" customHeight="1">
      <c r="A103" s="2"/>
      <c r="B103" s="20" t="s">
        <v>302</v>
      </c>
      <c r="C103" s="14" t="s">
        <v>235</v>
      </c>
      <c r="D103" s="14" t="s">
        <v>70</v>
      </c>
      <c r="E103" s="14" t="s">
        <v>84</v>
      </c>
      <c r="F103" s="14">
        <v>26</v>
      </c>
      <c r="G103" s="15">
        <v>10.4</v>
      </c>
      <c r="H103" s="14" t="s">
        <v>58</v>
      </c>
      <c r="I103" s="14" t="s">
        <v>37</v>
      </c>
      <c r="J103" s="14" t="s">
        <v>38</v>
      </c>
      <c r="K103" s="14" t="s">
        <v>38</v>
      </c>
      <c r="L103" s="14" t="s">
        <v>39</v>
      </c>
      <c r="M103" s="14" t="s">
        <v>40</v>
      </c>
      <c r="N103" s="14" t="s">
        <v>40</v>
      </c>
      <c r="O103" s="14" t="s">
        <v>41</v>
      </c>
      <c r="P103" s="14">
        <v>71.7</v>
      </c>
      <c r="Q103" s="14">
        <v>40</v>
      </c>
      <c r="R103" s="14">
        <v>45</v>
      </c>
      <c r="S103" s="14">
        <v>2</v>
      </c>
      <c r="T103" s="14">
        <v>0</v>
      </c>
      <c r="U103" s="14" t="s">
        <v>42</v>
      </c>
      <c r="V103" s="14" t="s">
        <v>43</v>
      </c>
      <c r="W103" s="14" t="s">
        <v>44</v>
      </c>
      <c r="X103" s="14">
        <v>2</v>
      </c>
      <c r="Y103" s="14" t="s">
        <v>222</v>
      </c>
      <c r="Z103" s="17">
        <v>2.3541666666666665</v>
      </c>
      <c r="AA103" s="14">
        <v>2</v>
      </c>
      <c r="AB103" s="14">
        <v>3</v>
      </c>
      <c r="AC103" s="14">
        <v>1</v>
      </c>
      <c r="AD103" s="17">
        <f>IFERROR(Z103/(AA103*AB103)*AC103*AA103,"")</f>
        <v>0.78472222222222221</v>
      </c>
      <c r="AE103" s="17">
        <f>Z103+AD103</f>
        <v>3.1388888888888888</v>
      </c>
      <c r="AF103" s="17"/>
      <c r="AG103" s="14">
        <f>AB103+AC103</f>
        <v>4</v>
      </c>
      <c r="AH103" s="18"/>
      <c r="AI103" s="19"/>
      <c r="AJ103" s="19"/>
      <c r="AK103" s="19"/>
      <c r="AL103" s="19"/>
      <c r="AM103" s="19"/>
    </row>
    <row r="104" spans="1:39" ht="15.75" customHeight="1">
      <c r="A104" s="2"/>
      <c r="B104" s="20" t="s">
        <v>303</v>
      </c>
      <c r="C104" s="14" t="s">
        <v>239</v>
      </c>
      <c r="D104" s="14" t="s">
        <v>70</v>
      </c>
      <c r="E104" s="14" t="s">
        <v>71</v>
      </c>
      <c r="F104" s="14">
        <v>20</v>
      </c>
      <c r="G104" s="15">
        <v>8</v>
      </c>
      <c r="H104" s="14" t="s">
        <v>58</v>
      </c>
      <c r="I104" s="14" t="s">
        <v>37</v>
      </c>
      <c r="J104" s="14" t="s">
        <v>38</v>
      </c>
      <c r="K104" s="14" t="s">
        <v>38</v>
      </c>
      <c r="L104" s="14" t="s">
        <v>39</v>
      </c>
      <c r="M104" s="14" t="s">
        <v>40</v>
      </c>
      <c r="N104" s="14" t="s">
        <v>40</v>
      </c>
      <c r="O104" s="14" t="s">
        <v>41</v>
      </c>
      <c r="P104" s="14">
        <v>71.7</v>
      </c>
      <c r="Q104" s="14">
        <v>40</v>
      </c>
      <c r="R104" s="14">
        <v>45</v>
      </c>
      <c r="S104" s="14">
        <v>2</v>
      </c>
      <c r="T104" s="14">
        <v>0</v>
      </c>
      <c r="U104" s="14" t="s">
        <v>42</v>
      </c>
      <c r="V104" s="14" t="s">
        <v>43</v>
      </c>
      <c r="W104" s="14" t="s">
        <v>44</v>
      </c>
      <c r="X104" s="14">
        <v>2</v>
      </c>
      <c r="Y104" s="14" t="s">
        <v>222</v>
      </c>
      <c r="Z104" s="17">
        <v>1.8888888888888888</v>
      </c>
      <c r="AA104" s="14">
        <v>3</v>
      </c>
      <c r="AB104" s="14">
        <v>3</v>
      </c>
      <c r="AC104" s="14">
        <v>0</v>
      </c>
      <c r="AD104" s="17">
        <f>IFERROR(Z104/(AA104*AB104)*AC104*AA104,"")</f>
        <v>0</v>
      </c>
      <c r="AE104" s="17">
        <f>Z104+AD104</f>
        <v>1.8888888888888888</v>
      </c>
      <c r="AF104" s="17"/>
      <c r="AG104" s="14">
        <f>AB104+AC104</f>
        <v>3</v>
      </c>
      <c r="AH104" s="18"/>
      <c r="AI104" s="19"/>
      <c r="AJ104" s="19"/>
      <c r="AK104" s="19"/>
      <c r="AL104" s="19"/>
      <c r="AM104" s="19"/>
    </row>
    <row r="105" spans="1:39" ht="15.75" customHeight="1">
      <c r="A105" s="2"/>
      <c r="B105" s="20" t="s">
        <v>304</v>
      </c>
      <c r="C105" s="14" t="s">
        <v>220</v>
      </c>
      <c r="D105" s="14" t="s">
        <v>169</v>
      </c>
      <c r="E105" s="14" t="s">
        <v>35</v>
      </c>
      <c r="F105" s="14">
        <v>20</v>
      </c>
      <c r="G105" s="15">
        <v>9.6999999999999993</v>
      </c>
      <c r="H105" s="14" t="s">
        <v>150</v>
      </c>
      <c r="I105" s="14" t="s">
        <v>195</v>
      </c>
      <c r="J105" s="14" t="s">
        <v>40</v>
      </c>
      <c r="K105" s="14" t="s">
        <v>40</v>
      </c>
      <c r="L105" s="14" t="s">
        <v>196</v>
      </c>
      <c r="M105" s="14" t="s">
        <v>40</v>
      </c>
      <c r="N105" s="14" t="s">
        <v>40</v>
      </c>
      <c r="O105" s="14" t="s">
        <v>135</v>
      </c>
      <c r="P105" s="14">
        <v>87.2</v>
      </c>
      <c r="Q105" s="14">
        <v>41.1</v>
      </c>
      <c r="R105" s="14">
        <v>64.2</v>
      </c>
      <c r="S105" s="14">
        <v>1</v>
      </c>
      <c r="T105" s="14">
        <v>0</v>
      </c>
      <c r="U105" s="14" t="s">
        <v>195</v>
      </c>
      <c r="V105" s="14" t="s">
        <v>195</v>
      </c>
      <c r="W105" s="14" t="s">
        <v>85</v>
      </c>
      <c r="X105" s="14">
        <v>0</v>
      </c>
      <c r="Y105" s="14" t="s">
        <v>45</v>
      </c>
      <c r="Z105" s="17">
        <v>3.4881944444444444</v>
      </c>
      <c r="AA105" s="14">
        <v>2</v>
      </c>
      <c r="AB105" s="14">
        <v>4</v>
      </c>
      <c r="AC105" s="14">
        <v>0</v>
      </c>
      <c r="AD105" s="17">
        <f>IFERROR(Z105/(AA105*AB105)*AC105*AA105,"")</f>
        <v>0</v>
      </c>
      <c r="AE105" s="17">
        <f>Z105+AD105</f>
        <v>3.4881944444444444</v>
      </c>
      <c r="AF105" s="17"/>
      <c r="AG105" s="14">
        <f>AB105+AC105</f>
        <v>4</v>
      </c>
      <c r="AH105" s="18"/>
      <c r="AI105" s="19"/>
      <c r="AJ105" s="19"/>
      <c r="AK105" s="19"/>
      <c r="AL105" s="19"/>
      <c r="AM105" s="19"/>
    </row>
    <row r="106" spans="1:39" ht="15.75" customHeight="1">
      <c r="A106" s="2"/>
      <c r="B106" s="20" t="s">
        <v>305</v>
      </c>
      <c r="C106" s="14" t="s">
        <v>306</v>
      </c>
      <c r="D106" s="14" t="s">
        <v>163</v>
      </c>
      <c r="E106" s="14" t="s">
        <v>35</v>
      </c>
      <c r="F106" s="14">
        <v>16</v>
      </c>
      <c r="G106" s="15">
        <v>6.4</v>
      </c>
      <c r="H106" s="14" t="s">
        <v>58</v>
      </c>
      <c r="I106" s="14" t="s">
        <v>37</v>
      </c>
      <c r="J106" s="14" t="s">
        <v>38</v>
      </c>
      <c r="K106" s="14" t="s">
        <v>40</v>
      </c>
      <c r="L106" s="14" t="s">
        <v>50</v>
      </c>
      <c r="M106" s="14" t="s">
        <v>40</v>
      </c>
      <c r="N106" s="14" t="s">
        <v>40</v>
      </c>
      <c r="O106" s="14" t="s">
        <v>41</v>
      </c>
      <c r="P106" s="14">
        <v>71.7</v>
      </c>
      <c r="Q106" s="14">
        <v>40</v>
      </c>
      <c r="R106" s="14">
        <v>45</v>
      </c>
      <c r="S106" s="14">
        <v>1</v>
      </c>
      <c r="T106" s="14">
        <v>0</v>
      </c>
      <c r="U106" s="14" t="s">
        <v>42</v>
      </c>
      <c r="V106" s="14" t="s">
        <v>43</v>
      </c>
      <c r="W106" s="14" t="s">
        <v>44</v>
      </c>
      <c r="X106" s="14">
        <v>2</v>
      </c>
      <c r="Y106" s="14" t="s">
        <v>114</v>
      </c>
      <c r="Z106" s="17">
        <v>1.3159722222222223</v>
      </c>
      <c r="AA106" s="14">
        <v>1</v>
      </c>
      <c r="AB106" s="14">
        <v>4</v>
      </c>
      <c r="AC106" s="14">
        <v>0</v>
      </c>
      <c r="AD106" s="17">
        <f>IFERROR(Z106/(AA106*AB106)*AC106*AA106,"")</f>
        <v>0</v>
      </c>
      <c r="AE106" s="17">
        <f>Z106+AD106</f>
        <v>1.3159722222222223</v>
      </c>
      <c r="AF106" s="17"/>
      <c r="AG106" s="14">
        <f>AB106+AC106</f>
        <v>4</v>
      </c>
      <c r="AH106" s="18"/>
      <c r="AI106" s="19"/>
      <c r="AJ106" s="19"/>
      <c r="AK106" s="19"/>
      <c r="AL106" s="19"/>
      <c r="AM106" s="19"/>
    </row>
    <row r="107" spans="1:39" ht="15.75" customHeight="1">
      <c r="A107" s="2"/>
      <c r="B107" s="20" t="s">
        <v>307</v>
      </c>
      <c r="C107" s="14" t="s">
        <v>203</v>
      </c>
      <c r="D107" s="14" t="s">
        <v>169</v>
      </c>
      <c r="E107" s="14" t="s">
        <v>35</v>
      </c>
      <c r="F107" s="14">
        <v>48</v>
      </c>
      <c r="G107" s="15">
        <v>19.2</v>
      </c>
      <c r="H107" s="14" t="s">
        <v>150</v>
      </c>
      <c r="I107" s="14" t="s">
        <v>195</v>
      </c>
      <c r="J107" s="14" t="s">
        <v>40</v>
      </c>
      <c r="K107" s="14" t="s">
        <v>40</v>
      </c>
      <c r="L107" s="14" t="s">
        <v>196</v>
      </c>
      <c r="M107" s="14" t="s">
        <v>40</v>
      </c>
      <c r="N107" s="14" t="s">
        <v>40</v>
      </c>
      <c r="O107" s="14" t="s">
        <v>92</v>
      </c>
      <c r="P107" s="14">
        <v>74</v>
      </c>
      <c r="Q107" s="14">
        <v>41.1</v>
      </c>
      <c r="R107" s="14">
        <v>48.5</v>
      </c>
      <c r="S107" s="14">
        <v>2</v>
      </c>
      <c r="T107" s="14">
        <v>0</v>
      </c>
      <c r="U107" s="14" t="s">
        <v>195</v>
      </c>
      <c r="V107" s="14" t="s">
        <v>195</v>
      </c>
      <c r="W107" s="14" t="s">
        <v>44</v>
      </c>
      <c r="X107" s="14">
        <v>0</v>
      </c>
      <c r="Y107" s="14" t="s">
        <v>45</v>
      </c>
      <c r="Z107" s="17">
        <v>5.8791666666666664</v>
      </c>
      <c r="AA107" s="14">
        <v>4</v>
      </c>
      <c r="AB107" s="14">
        <v>4</v>
      </c>
      <c r="AC107" s="14">
        <v>2</v>
      </c>
      <c r="AD107" s="17">
        <f>IFERROR(Z107/(AA107*AB107)*AC107*AA107,"")</f>
        <v>2.9395833333333332</v>
      </c>
      <c r="AE107" s="17">
        <f>Z107+AD107</f>
        <v>8.8187499999999996</v>
      </c>
      <c r="AF107" s="17"/>
      <c r="AG107" s="14">
        <f>AB107+AC107</f>
        <v>6</v>
      </c>
      <c r="AH107" s="18"/>
      <c r="AI107" s="19"/>
      <c r="AJ107" s="19"/>
      <c r="AK107" s="19"/>
      <c r="AL107" s="19"/>
      <c r="AM107" s="19"/>
    </row>
    <row r="108" spans="1:39" ht="15.75" customHeight="1">
      <c r="A108" s="2"/>
      <c r="B108" s="20" t="s">
        <v>308</v>
      </c>
      <c r="C108" s="14" t="s">
        <v>97</v>
      </c>
      <c r="D108" s="14" t="s">
        <v>169</v>
      </c>
      <c r="E108" s="14" t="s">
        <v>35</v>
      </c>
      <c r="F108" s="14">
        <v>9</v>
      </c>
      <c r="G108" s="15">
        <v>4.3650000000000002</v>
      </c>
      <c r="H108" s="14" t="s">
        <v>36</v>
      </c>
      <c r="I108" s="14" t="s">
        <v>195</v>
      </c>
      <c r="J108" s="14" t="s">
        <v>40</v>
      </c>
      <c r="K108" s="14" t="s">
        <v>40</v>
      </c>
      <c r="L108" s="14" t="s">
        <v>196</v>
      </c>
      <c r="M108" s="14" t="s">
        <v>40</v>
      </c>
      <c r="N108" s="14" t="s">
        <v>40</v>
      </c>
      <c r="O108" s="14" t="s">
        <v>41</v>
      </c>
      <c r="P108" s="14">
        <v>87.2</v>
      </c>
      <c r="Q108" s="14">
        <v>41.1</v>
      </c>
      <c r="R108" s="14">
        <v>64.2</v>
      </c>
      <c r="S108" s="14">
        <v>1</v>
      </c>
      <c r="T108" s="14">
        <v>0</v>
      </c>
      <c r="U108" s="14" t="s">
        <v>195</v>
      </c>
      <c r="V108" s="14" t="s">
        <v>195</v>
      </c>
      <c r="W108" s="14" t="s">
        <v>85</v>
      </c>
      <c r="X108" s="14">
        <v>0</v>
      </c>
      <c r="Y108" s="14" t="s">
        <v>45</v>
      </c>
      <c r="Z108" s="17">
        <v>4.489583333333333</v>
      </c>
      <c r="AA108" s="14">
        <v>3</v>
      </c>
      <c r="AB108" s="14">
        <v>4</v>
      </c>
      <c r="AC108" s="14">
        <v>0</v>
      </c>
      <c r="AD108" s="17">
        <f>IFERROR(Z108/(AA108*AB108)*AC108*AA108,"")</f>
        <v>0</v>
      </c>
      <c r="AE108" s="17">
        <f>Z108+AD108</f>
        <v>4.489583333333333</v>
      </c>
      <c r="AF108" s="17"/>
      <c r="AG108" s="14">
        <f>AB108+AC108</f>
        <v>4</v>
      </c>
      <c r="AH108" s="18"/>
      <c r="AI108" s="19"/>
      <c r="AJ108" s="19"/>
      <c r="AK108" s="19"/>
      <c r="AL108" s="19"/>
      <c r="AM108" s="19"/>
    </row>
    <row r="109" spans="1:39" ht="15.75" customHeight="1">
      <c r="A109" s="2"/>
      <c r="B109" s="20" t="s">
        <v>309</v>
      </c>
      <c r="C109" s="14" t="s">
        <v>201</v>
      </c>
      <c r="D109" s="14" t="s">
        <v>169</v>
      </c>
      <c r="E109" s="14" t="s">
        <v>121</v>
      </c>
      <c r="F109" s="14">
        <v>9</v>
      </c>
      <c r="G109" s="15">
        <v>3.6</v>
      </c>
      <c r="H109" s="14" t="s">
        <v>36</v>
      </c>
      <c r="I109" s="14" t="s">
        <v>37</v>
      </c>
      <c r="J109" s="14" t="s">
        <v>38</v>
      </c>
      <c r="K109" s="14" t="s">
        <v>40</v>
      </c>
      <c r="L109" s="14" t="s">
        <v>39</v>
      </c>
      <c r="M109" s="14" t="s">
        <v>40</v>
      </c>
      <c r="N109" s="14" t="s">
        <v>40</v>
      </c>
      <c r="O109" s="14" t="s">
        <v>92</v>
      </c>
      <c r="P109" s="14">
        <v>71.7</v>
      </c>
      <c r="Q109" s="14">
        <v>40</v>
      </c>
      <c r="R109" s="14">
        <v>45</v>
      </c>
      <c r="S109" s="14">
        <v>1</v>
      </c>
      <c r="T109" s="14">
        <v>0</v>
      </c>
      <c r="U109" s="14" t="s">
        <v>42</v>
      </c>
      <c r="V109" s="14" t="s">
        <v>43</v>
      </c>
      <c r="W109" s="14" t="s">
        <v>44</v>
      </c>
      <c r="X109" s="14">
        <v>1</v>
      </c>
      <c r="Y109" s="14" t="s">
        <v>45</v>
      </c>
      <c r="Z109" s="17">
        <v>1.1875</v>
      </c>
      <c r="AA109" s="14">
        <v>1</v>
      </c>
      <c r="AB109" s="14">
        <v>3</v>
      </c>
      <c r="AC109" s="14">
        <v>0</v>
      </c>
      <c r="AD109" s="17">
        <f>IFERROR(Z109/(AA109*AB109)*AC109*AA109,"")</f>
        <v>0</v>
      </c>
      <c r="AE109" s="17">
        <f>Z109+AD109</f>
        <v>1.1875</v>
      </c>
      <c r="AF109" s="17"/>
      <c r="AG109" s="14">
        <f>AB109+AC109</f>
        <v>3</v>
      </c>
      <c r="AH109" s="18"/>
      <c r="AI109" s="19"/>
      <c r="AJ109" s="19"/>
      <c r="AK109" s="19"/>
      <c r="AL109" s="19"/>
      <c r="AM109" s="19"/>
    </row>
    <row r="110" spans="1:39" s="186" customFormat="1" ht="15.75" customHeight="1">
      <c r="A110" s="179"/>
      <c r="B110" s="180" t="s">
        <v>310</v>
      </c>
      <c r="C110" s="181" t="s">
        <v>168</v>
      </c>
      <c r="D110" s="181">
        <v>26</v>
      </c>
      <c r="E110" s="181" t="s">
        <v>311</v>
      </c>
      <c r="F110" s="181">
        <v>50</v>
      </c>
      <c r="G110" s="182">
        <v>24.25</v>
      </c>
      <c r="H110" s="181" t="s">
        <v>36</v>
      </c>
      <c r="I110" s="181" t="s">
        <v>37</v>
      </c>
      <c r="J110" s="181" t="s">
        <v>38</v>
      </c>
      <c r="K110" s="181" t="s">
        <v>40</v>
      </c>
      <c r="L110" s="181" t="s">
        <v>39</v>
      </c>
      <c r="M110" s="181" t="s">
        <v>40</v>
      </c>
      <c r="N110" s="181" t="s">
        <v>40</v>
      </c>
      <c r="O110" s="181" t="s">
        <v>135</v>
      </c>
      <c r="P110" s="181">
        <v>87.2</v>
      </c>
      <c r="Q110" s="181">
        <v>41.1</v>
      </c>
      <c r="R110" s="181">
        <v>64.2</v>
      </c>
      <c r="S110" s="181">
        <v>2</v>
      </c>
      <c r="T110" s="181">
        <v>0</v>
      </c>
      <c r="U110" s="181" t="s">
        <v>42</v>
      </c>
      <c r="V110" s="181" t="s">
        <v>259</v>
      </c>
      <c r="W110" s="181" t="s">
        <v>44</v>
      </c>
      <c r="X110" s="181">
        <v>1</v>
      </c>
      <c r="Y110" s="181" t="s">
        <v>147</v>
      </c>
      <c r="Z110" s="183">
        <v>5.354166666666667</v>
      </c>
      <c r="AA110" s="181">
        <v>5</v>
      </c>
      <c r="AB110" s="181">
        <v>5</v>
      </c>
      <c r="AC110" s="181">
        <v>2</v>
      </c>
      <c r="AD110" s="183">
        <f>IFERROR(Z110/(AA110*AB110)*AC110*AA110,"")</f>
        <v>2.1416666666666666</v>
      </c>
      <c r="AE110" s="183">
        <f>Z110+AD110</f>
        <v>7.4958333333333336</v>
      </c>
      <c r="AF110" s="183"/>
      <c r="AG110" s="181">
        <f>AB110+AC110</f>
        <v>7</v>
      </c>
      <c r="AH110" s="184" t="s">
        <v>312</v>
      </c>
      <c r="AI110" s="185"/>
      <c r="AJ110" s="185"/>
      <c r="AK110" s="185"/>
      <c r="AL110" s="185"/>
      <c r="AM110" s="185"/>
    </row>
    <row r="111" spans="1:39" s="186" customFormat="1" ht="15.75" customHeight="1">
      <c r="A111" s="179"/>
      <c r="B111" s="180" t="s">
        <v>313</v>
      </c>
      <c r="C111" s="181" t="s">
        <v>126</v>
      </c>
      <c r="D111" s="181" t="s">
        <v>294</v>
      </c>
      <c r="E111" s="181" t="s">
        <v>35</v>
      </c>
      <c r="F111" s="181">
        <v>23</v>
      </c>
      <c r="G111" s="182">
        <v>8.9700000000000006</v>
      </c>
      <c r="H111" s="181" t="s">
        <v>58</v>
      </c>
      <c r="I111" s="181" t="s">
        <v>37</v>
      </c>
      <c r="J111" s="181" t="s">
        <v>38</v>
      </c>
      <c r="K111" s="181" t="s">
        <v>40</v>
      </c>
      <c r="L111" s="181" t="s">
        <v>39</v>
      </c>
      <c r="M111" s="181" t="s">
        <v>40</v>
      </c>
      <c r="N111" s="181" t="s">
        <v>40</v>
      </c>
      <c r="O111" s="181" t="s">
        <v>41</v>
      </c>
      <c r="P111" s="181">
        <v>69.06</v>
      </c>
      <c r="Q111" s="181">
        <v>43.15</v>
      </c>
      <c r="R111" s="181">
        <v>46.3</v>
      </c>
      <c r="S111" s="181">
        <v>1</v>
      </c>
      <c r="T111" s="181">
        <v>0</v>
      </c>
      <c r="U111" s="181" t="s">
        <v>42</v>
      </c>
      <c r="V111" s="181" t="s">
        <v>43</v>
      </c>
      <c r="W111" s="181" t="s">
        <v>44</v>
      </c>
      <c r="X111" s="181">
        <v>1</v>
      </c>
      <c r="Y111" s="181" t="s">
        <v>45</v>
      </c>
      <c r="Z111" s="183">
        <v>1.3020833333333333</v>
      </c>
      <c r="AA111" s="181">
        <v>1</v>
      </c>
      <c r="AB111" s="181">
        <v>3</v>
      </c>
      <c r="AC111" s="181">
        <v>0</v>
      </c>
      <c r="AD111" s="183">
        <f>IFERROR(Z111/(AA111*AB111)*AC111*AA111,"")</f>
        <v>0</v>
      </c>
      <c r="AE111" s="183">
        <f>Z111+AD111</f>
        <v>1.3020833333333333</v>
      </c>
      <c r="AF111" s="183"/>
      <c r="AG111" s="181">
        <f>AB111+AC111</f>
        <v>3</v>
      </c>
      <c r="AH111" s="184"/>
      <c r="AI111" s="185"/>
      <c r="AJ111" s="185"/>
      <c r="AK111" s="185"/>
      <c r="AL111" s="185"/>
      <c r="AM111" s="185"/>
    </row>
    <row r="112" spans="1:39" ht="15.75" customHeight="1">
      <c r="A112" s="2"/>
      <c r="B112" s="20" t="s">
        <v>314</v>
      </c>
      <c r="C112" s="14" t="s">
        <v>116</v>
      </c>
      <c r="D112" s="14" t="s">
        <v>110</v>
      </c>
      <c r="E112" s="14" t="s">
        <v>160</v>
      </c>
      <c r="F112" s="14">
        <v>36</v>
      </c>
      <c r="G112" s="15">
        <v>14.4</v>
      </c>
      <c r="H112" s="14" t="s">
        <v>58</v>
      </c>
      <c r="I112" s="14" t="s">
        <v>37</v>
      </c>
      <c r="J112" s="14" t="s">
        <v>38</v>
      </c>
      <c r="K112" s="14" t="s">
        <v>38</v>
      </c>
      <c r="L112" s="14" t="s">
        <v>39</v>
      </c>
      <c r="M112" s="14" t="s">
        <v>40</v>
      </c>
      <c r="N112" s="14" t="s">
        <v>38</v>
      </c>
      <c r="O112" s="14" t="s">
        <v>75</v>
      </c>
      <c r="P112" s="14">
        <v>71.7</v>
      </c>
      <c r="Q112" s="14">
        <v>40</v>
      </c>
      <c r="R112" s="14">
        <v>45</v>
      </c>
      <c r="S112" s="14">
        <v>2</v>
      </c>
      <c r="T112" s="14">
        <v>0</v>
      </c>
      <c r="U112" s="14" t="s">
        <v>42</v>
      </c>
      <c r="V112" s="14" t="s">
        <v>43</v>
      </c>
      <c r="W112" s="14" t="s">
        <v>44</v>
      </c>
      <c r="X112" s="14">
        <v>1</v>
      </c>
      <c r="Y112" s="14" t="s">
        <v>45</v>
      </c>
      <c r="Z112" s="17">
        <v>1.6145833333333333</v>
      </c>
      <c r="AA112" s="14">
        <v>2</v>
      </c>
      <c r="AB112" s="14">
        <v>3</v>
      </c>
      <c r="AC112" s="14">
        <v>0</v>
      </c>
      <c r="AD112" s="17">
        <f>IFERROR(Z112/(AA112*AB112)*AC112*AA112,"")</f>
        <v>0</v>
      </c>
      <c r="AE112" s="17">
        <f>Z112+AD112</f>
        <v>1.6145833333333333</v>
      </c>
      <c r="AF112" s="17"/>
      <c r="AG112" s="14">
        <f>AB112+AC112</f>
        <v>3</v>
      </c>
      <c r="AH112" s="18"/>
      <c r="AI112" s="19"/>
      <c r="AJ112" s="19"/>
      <c r="AK112" s="19"/>
      <c r="AL112" s="19"/>
      <c r="AM112" s="19"/>
    </row>
    <row r="113" spans="1:39" ht="15.75" customHeight="1">
      <c r="A113" s="2"/>
      <c r="B113" s="20" t="s">
        <v>315</v>
      </c>
      <c r="C113" s="14" t="s">
        <v>69</v>
      </c>
      <c r="D113" s="14" t="s">
        <v>70</v>
      </c>
      <c r="E113" s="14" t="s">
        <v>74</v>
      </c>
      <c r="F113" s="14">
        <v>12</v>
      </c>
      <c r="G113" s="15">
        <v>4.68</v>
      </c>
      <c r="H113" s="14" t="s">
        <v>36</v>
      </c>
      <c r="I113" s="14" t="s">
        <v>37</v>
      </c>
      <c r="J113" s="14" t="s">
        <v>38</v>
      </c>
      <c r="K113" s="14" t="s">
        <v>40</v>
      </c>
      <c r="L113" s="14" t="s">
        <v>39</v>
      </c>
      <c r="M113" s="14" t="s">
        <v>40</v>
      </c>
      <c r="N113" s="14" t="s">
        <v>38</v>
      </c>
      <c r="O113" s="14" t="s">
        <v>41</v>
      </c>
      <c r="P113" s="14">
        <v>69.06</v>
      </c>
      <c r="Q113" s="14">
        <v>43.15</v>
      </c>
      <c r="R113" s="14">
        <v>46.3</v>
      </c>
      <c r="S113" s="14">
        <v>2</v>
      </c>
      <c r="T113" s="14">
        <v>0</v>
      </c>
      <c r="U113" s="14" t="s">
        <v>42</v>
      </c>
      <c r="V113" s="14" t="s">
        <v>43</v>
      </c>
      <c r="W113" s="14" t="s">
        <v>44</v>
      </c>
      <c r="X113" s="14">
        <v>1</v>
      </c>
      <c r="Y113" s="14" t="s">
        <v>45</v>
      </c>
      <c r="Z113" s="17">
        <v>2.1840277777777777</v>
      </c>
      <c r="AA113" s="14">
        <v>2</v>
      </c>
      <c r="AB113" s="14">
        <v>3</v>
      </c>
      <c r="AC113" s="14">
        <v>0</v>
      </c>
      <c r="AD113" s="17">
        <f>IFERROR(Z113/(AA113*AB113)*AC113*AA113,"")</f>
        <v>0</v>
      </c>
      <c r="AE113" s="17">
        <f>Z113+AD113</f>
        <v>2.1840277777777777</v>
      </c>
      <c r="AF113" s="17"/>
      <c r="AG113" s="14">
        <f>AB113+AC113</f>
        <v>3</v>
      </c>
      <c r="AH113" s="18"/>
      <c r="AI113" s="19"/>
      <c r="AJ113" s="19"/>
      <c r="AK113" s="19"/>
      <c r="AL113" s="19"/>
      <c r="AM113" s="19"/>
    </row>
    <row r="114" spans="1:39" ht="15.75" customHeight="1">
      <c r="A114" s="2"/>
      <c r="B114" s="20" t="s">
        <v>316</v>
      </c>
      <c r="C114" s="14" t="s">
        <v>116</v>
      </c>
      <c r="D114" s="14" t="s">
        <v>169</v>
      </c>
      <c r="E114" s="14" t="s">
        <v>35</v>
      </c>
      <c r="F114" s="14">
        <v>16</v>
      </c>
      <c r="G114" s="15">
        <v>6.4</v>
      </c>
      <c r="H114" s="14" t="s">
        <v>58</v>
      </c>
      <c r="I114" s="14" t="s">
        <v>37</v>
      </c>
      <c r="J114" s="14" t="s">
        <v>38</v>
      </c>
      <c r="K114" s="14" t="s">
        <v>38</v>
      </c>
      <c r="L114" s="14" t="s">
        <v>39</v>
      </c>
      <c r="M114" s="14" t="s">
        <v>40</v>
      </c>
      <c r="N114" s="14" t="s">
        <v>38</v>
      </c>
      <c r="O114" s="14" t="s">
        <v>41</v>
      </c>
      <c r="P114" s="14">
        <v>71.7</v>
      </c>
      <c r="Q114" s="14">
        <v>40</v>
      </c>
      <c r="R114" s="14">
        <v>45</v>
      </c>
      <c r="S114" s="14">
        <v>1</v>
      </c>
      <c r="T114" s="14">
        <v>0</v>
      </c>
      <c r="U114" s="14" t="s">
        <v>42</v>
      </c>
      <c r="V114" s="14" t="s">
        <v>43</v>
      </c>
      <c r="W114" s="14" t="s">
        <v>44</v>
      </c>
      <c r="X114" s="14">
        <v>1</v>
      </c>
      <c r="Y114" s="14" t="s">
        <v>45</v>
      </c>
      <c r="Z114" s="17">
        <v>1.4270833333333333</v>
      </c>
      <c r="AA114" s="14">
        <v>1</v>
      </c>
      <c r="AB114" s="14">
        <v>5</v>
      </c>
      <c r="AC114" s="14">
        <v>0</v>
      </c>
      <c r="AD114" s="17">
        <f>IFERROR(Z114/(AA114*AB114)*AC114*AA114,"")</f>
        <v>0</v>
      </c>
      <c r="AE114" s="17">
        <f>Z114+AD114</f>
        <v>1.4270833333333333</v>
      </c>
      <c r="AF114" s="17"/>
      <c r="AG114" s="14">
        <f>AB114+AC114</f>
        <v>5</v>
      </c>
      <c r="AH114" s="18"/>
      <c r="AI114" s="19"/>
      <c r="AJ114" s="19"/>
      <c r="AK114" s="19"/>
      <c r="AL114" s="19"/>
      <c r="AM114" s="19"/>
    </row>
    <row r="115" spans="1:39" ht="15.75" customHeight="1">
      <c r="A115" s="2"/>
      <c r="B115" s="20" t="s">
        <v>317</v>
      </c>
      <c r="C115" s="14" t="s">
        <v>318</v>
      </c>
      <c r="D115" s="14" t="s">
        <v>294</v>
      </c>
      <c r="E115" s="14" t="s">
        <v>155</v>
      </c>
      <c r="F115" s="14">
        <v>46</v>
      </c>
      <c r="G115" s="15">
        <v>18.399999999999999</v>
      </c>
      <c r="H115" s="14" t="s">
        <v>58</v>
      </c>
      <c r="I115" s="14" t="s">
        <v>37</v>
      </c>
      <c r="J115" s="14" t="s">
        <v>38</v>
      </c>
      <c r="K115" s="14" t="s">
        <v>38</v>
      </c>
      <c r="L115" s="14" t="s">
        <v>39</v>
      </c>
      <c r="M115" s="14" t="s">
        <v>40</v>
      </c>
      <c r="N115" s="14" t="s">
        <v>40</v>
      </c>
      <c r="O115" s="14" t="s">
        <v>41</v>
      </c>
      <c r="P115" s="14">
        <v>71.7</v>
      </c>
      <c r="Q115" s="14">
        <v>40</v>
      </c>
      <c r="R115" s="14">
        <v>45</v>
      </c>
      <c r="S115" s="14">
        <v>4</v>
      </c>
      <c r="T115" s="14">
        <v>0</v>
      </c>
      <c r="U115" s="14" t="s">
        <v>42</v>
      </c>
      <c r="V115" s="14" t="s">
        <v>43</v>
      </c>
      <c r="W115" s="14" t="s">
        <v>44</v>
      </c>
      <c r="X115" s="14">
        <v>2</v>
      </c>
      <c r="Y115" s="14" t="s">
        <v>45</v>
      </c>
      <c r="Z115" s="17">
        <v>3.8159722222222223</v>
      </c>
      <c r="AA115" s="14">
        <v>3</v>
      </c>
      <c r="AB115" s="14">
        <v>5</v>
      </c>
      <c r="AC115" s="14">
        <v>1</v>
      </c>
      <c r="AD115" s="17">
        <f>IFERROR(Z115/(AA115*AB115)*AC115*AA115,"")</f>
        <v>0.76319444444444451</v>
      </c>
      <c r="AE115" s="17">
        <f>Z115+AD115</f>
        <v>4.5791666666666666</v>
      </c>
      <c r="AF115" s="17"/>
      <c r="AG115" s="14">
        <f>AB115+AC115</f>
        <v>6</v>
      </c>
      <c r="AH115" s="18"/>
      <c r="AI115" s="19"/>
      <c r="AJ115" s="19"/>
      <c r="AK115" s="19"/>
      <c r="AL115" s="19"/>
      <c r="AM115" s="19"/>
    </row>
    <row r="116" spans="1:39" ht="15.75" customHeight="1">
      <c r="A116" s="2"/>
      <c r="B116" s="20" t="s">
        <v>319</v>
      </c>
      <c r="C116" s="14" t="s">
        <v>33</v>
      </c>
      <c r="D116" s="14" t="s">
        <v>56</v>
      </c>
      <c r="E116" s="14" t="s">
        <v>320</v>
      </c>
      <c r="F116" s="14">
        <v>26</v>
      </c>
      <c r="G116" s="15">
        <v>10.14</v>
      </c>
      <c r="H116" s="14" t="s">
        <v>58</v>
      </c>
      <c r="I116" s="14" t="s">
        <v>37</v>
      </c>
      <c r="J116" s="14" t="s">
        <v>38</v>
      </c>
      <c r="K116" s="14" t="s">
        <v>38</v>
      </c>
      <c r="L116" s="14" t="s">
        <v>50</v>
      </c>
      <c r="M116" s="14" t="s">
        <v>38</v>
      </c>
      <c r="N116" s="14" t="s">
        <v>38</v>
      </c>
      <c r="O116" s="14" t="s">
        <v>80</v>
      </c>
      <c r="P116" s="14">
        <v>69.06</v>
      </c>
      <c r="Q116" s="14">
        <v>43.15</v>
      </c>
      <c r="R116" s="14">
        <v>46.3</v>
      </c>
      <c r="S116" s="14">
        <v>3</v>
      </c>
      <c r="T116" s="14">
        <v>9</v>
      </c>
      <c r="U116" s="14" t="s">
        <v>42</v>
      </c>
      <c r="V116" s="14" t="s">
        <v>43</v>
      </c>
      <c r="W116" s="14" t="s">
        <v>62</v>
      </c>
      <c r="X116" s="14">
        <v>2</v>
      </c>
      <c r="Y116" s="14" t="s">
        <v>45</v>
      </c>
      <c r="Z116" s="17">
        <v>3.1979166666666665</v>
      </c>
      <c r="AA116" s="14">
        <v>4</v>
      </c>
      <c r="AB116" s="14">
        <v>3</v>
      </c>
      <c r="AC116" s="14">
        <v>0</v>
      </c>
      <c r="AD116" s="17">
        <f>IFERROR(Z116/(AA116*AB116)*AC116*AA116,"")</f>
        <v>0</v>
      </c>
      <c r="AE116" s="17">
        <f>Z116+AD116</f>
        <v>3.1979166666666665</v>
      </c>
      <c r="AF116" s="17"/>
      <c r="AG116" s="14">
        <f>AB116+AC116</f>
        <v>3</v>
      </c>
      <c r="AH116" s="18"/>
      <c r="AI116" s="19"/>
      <c r="AJ116" s="19"/>
      <c r="AK116" s="19"/>
      <c r="AL116" s="19"/>
      <c r="AM116" s="19"/>
    </row>
    <row r="117" spans="1:39" ht="15.75" customHeight="1">
      <c r="A117" s="2"/>
      <c r="B117" s="20" t="s">
        <v>321</v>
      </c>
      <c r="C117" s="14" t="s">
        <v>166</v>
      </c>
      <c r="D117" s="14" t="s">
        <v>56</v>
      </c>
      <c r="E117" s="14" t="s">
        <v>121</v>
      </c>
      <c r="F117" s="14">
        <v>20</v>
      </c>
      <c r="G117" s="15">
        <v>7.8</v>
      </c>
      <c r="H117" s="14" t="s">
        <v>58</v>
      </c>
      <c r="I117" s="14" t="s">
        <v>37</v>
      </c>
      <c r="J117" s="14" t="s">
        <v>38</v>
      </c>
      <c r="K117" s="14" t="s">
        <v>40</v>
      </c>
      <c r="L117" s="14" t="s">
        <v>39</v>
      </c>
      <c r="M117" s="14" t="s">
        <v>40</v>
      </c>
      <c r="N117" s="14" t="s">
        <v>40</v>
      </c>
      <c r="O117" s="14" t="s">
        <v>41</v>
      </c>
      <c r="P117" s="14">
        <v>69.06</v>
      </c>
      <c r="Q117" s="14">
        <v>43.15</v>
      </c>
      <c r="R117" s="14">
        <v>46.3</v>
      </c>
      <c r="S117" s="14">
        <v>1</v>
      </c>
      <c r="T117" s="14">
        <v>0</v>
      </c>
      <c r="U117" s="14" t="s">
        <v>42</v>
      </c>
      <c r="V117" s="14" t="s">
        <v>43</v>
      </c>
      <c r="W117" s="14" t="s">
        <v>44</v>
      </c>
      <c r="X117" s="14">
        <v>2</v>
      </c>
      <c r="Y117" s="14" t="s">
        <v>45</v>
      </c>
      <c r="Z117" s="17">
        <v>1</v>
      </c>
      <c r="AA117" s="14">
        <v>2</v>
      </c>
      <c r="AB117" s="14">
        <v>2</v>
      </c>
      <c r="AC117" s="14">
        <v>1</v>
      </c>
      <c r="AD117" s="17">
        <f>IFERROR(Z117/(AA117*AB117)*AC117*AA117,"")</f>
        <v>0.5</v>
      </c>
      <c r="AE117" s="17">
        <f>Z117+AD117</f>
        <v>1.5</v>
      </c>
      <c r="AF117" s="17"/>
      <c r="AG117" s="14">
        <f>AB117+AC117</f>
        <v>3</v>
      </c>
      <c r="AH117" s="18"/>
      <c r="AI117" s="19"/>
      <c r="AJ117" s="19"/>
      <c r="AK117" s="19"/>
      <c r="AL117" s="19"/>
      <c r="AM117" s="19"/>
    </row>
    <row r="118" spans="1:39" ht="15.75" customHeight="1">
      <c r="A118" s="2"/>
      <c r="B118" s="20" t="s">
        <v>322</v>
      </c>
      <c r="C118" s="14" t="s">
        <v>102</v>
      </c>
      <c r="D118" s="14" t="s">
        <v>169</v>
      </c>
      <c r="E118" s="14" t="s">
        <v>323</v>
      </c>
      <c r="F118" s="14">
        <v>18</v>
      </c>
      <c r="G118" s="15">
        <v>7.29</v>
      </c>
      <c r="H118" s="14" t="s">
        <v>58</v>
      </c>
      <c r="I118" s="14" t="s">
        <v>37</v>
      </c>
      <c r="J118" s="14" t="s">
        <v>38</v>
      </c>
      <c r="K118" s="14" t="s">
        <v>38</v>
      </c>
      <c r="L118" s="14" t="s">
        <v>39</v>
      </c>
      <c r="M118" s="14" t="s">
        <v>40</v>
      </c>
      <c r="N118" s="14" t="s">
        <v>38</v>
      </c>
      <c r="O118" s="14" t="s">
        <v>41</v>
      </c>
      <c r="P118" s="14">
        <v>71.7</v>
      </c>
      <c r="Q118" s="14">
        <v>40</v>
      </c>
      <c r="R118" s="14">
        <v>45</v>
      </c>
      <c r="S118" s="14">
        <v>1</v>
      </c>
      <c r="T118" s="14">
        <v>0</v>
      </c>
      <c r="U118" s="14" t="s">
        <v>42</v>
      </c>
      <c r="V118" s="14" t="s">
        <v>43</v>
      </c>
      <c r="W118" s="14" t="s">
        <v>44</v>
      </c>
      <c r="X118" s="14">
        <v>1</v>
      </c>
      <c r="Y118" s="14" t="s">
        <v>114</v>
      </c>
      <c r="Z118" s="17">
        <v>1.3576388888888888</v>
      </c>
      <c r="AA118" s="14">
        <v>1</v>
      </c>
      <c r="AB118" s="14">
        <v>4</v>
      </c>
      <c r="AC118" s="14">
        <v>0</v>
      </c>
      <c r="AD118" s="17">
        <f>IFERROR(Z118/(AA118*AB118)*AC118*AA118,"")</f>
        <v>0</v>
      </c>
      <c r="AE118" s="17">
        <f>Z118+AD118</f>
        <v>1.3576388888888888</v>
      </c>
      <c r="AF118" s="17"/>
      <c r="AG118" s="14">
        <f>AB118+AC118</f>
        <v>4</v>
      </c>
      <c r="AH118" s="18"/>
      <c r="AI118" s="19"/>
      <c r="AJ118" s="19"/>
      <c r="AK118" s="19"/>
      <c r="AL118" s="19"/>
      <c r="AM118" s="19"/>
    </row>
    <row r="119" spans="1:39" ht="15.75" customHeight="1">
      <c r="A119" s="2"/>
      <c r="B119" s="20" t="s">
        <v>324</v>
      </c>
      <c r="C119" s="14" t="s">
        <v>325</v>
      </c>
      <c r="D119" s="14" t="s">
        <v>326</v>
      </c>
      <c r="E119" s="14" t="s">
        <v>35</v>
      </c>
      <c r="F119" s="14">
        <v>21</v>
      </c>
      <c r="G119" s="15">
        <v>8.5050000000000008</v>
      </c>
      <c r="H119" s="14" t="s">
        <v>58</v>
      </c>
      <c r="I119" s="14" t="s">
        <v>37</v>
      </c>
      <c r="J119" s="14" t="s">
        <v>38</v>
      </c>
      <c r="K119" s="14" t="s">
        <v>40</v>
      </c>
      <c r="L119" s="14" t="s">
        <v>39</v>
      </c>
      <c r="M119" s="14" t="s">
        <v>40</v>
      </c>
      <c r="N119" s="14" t="s">
        <v>40</v>
      </c>
      <c r="O119" s="14" t="s">
        <v>41</v>
      </c>
      <c r="P119" s="14">
        <v>71.7</v>
      </c>
      <c r="Q119" s="14">
        <v>40</v>
      </c>
      <c r="R119" s="14">
        <v>45</v>
      </c>
      <c r="S119" s="14">
        <v>1</v>
      </c>
      <c r="T119" s="14">
        <v>0</v>
      </c>
      <c r="U119" s="14" t="s">
        <v>42</v>
      </c>
      <c r="V119" s="14" t="s">
        <v>43</v>
      </c>
      <c r="W119" s="14" t="s">
        <v>44</v>
      </c>
      <c r="X119" s="14">
        <v>2</v>
      </c>
      <c r="Y119" s="14" t="s">
        <v>45</v>
      </c>
      <c r="Z119" s="17">
        <v>1.3645833333333333</v>
      </c>
      <c r="AA119" s="14">
        <v>2</v>
      </c>
      <c r="AB119" s="14">
        <v>2</v>
      </c>
      <c r="AC119" s="14">
        <v>1</v>
      </c>
      <c r="AD119" s="17">
        <f>IFERROR(Z119/(AA119*AB119)*AC119*AA119,"")</f>
        <v>0.68229166666666663</v>
      </c>
      <c r="AE119" s="17">
        <f>Z119+AD119</f>
        <v>2.046875</v>
      </c>
      <c r="AF119" s="17"/>
      <c r="AG119" s="14">
        <f>AB119+AC119</f>
        <v>3</v>
      </c>
      <c r="AH119" s="18"/>
      <c r="AI119" s="19"/>
      <c r="AJ119" s="19"/>
      <c r="AK119" s="19"/>
      <c r="AL119" s="19"/>
      <c r="AM119" s="19"/>
    </row>
    <row r="120" spans="1:39" ht="15.75" customHeight="1">
      <c r="A120" s="2"/>
      <c r="B120" s="20" t="s">
        <v>327</v>
      </c>
      <c r="C120" s="14" t="s">
        <v>149</v>
      </c>
      <c r="D120" s="14" t="s">
        <v>105</v>
      </c>
      <c r="E120" s="14" t="s">
        <v>35</v>
      </c>
      <c r="F120" s="14">
        <v>45</v>
      </c>
      <c r="G120" s="15">
        <v>17.55</v>
      </c>
      <c r="H120" s="14" t="s">
        <v>36</v>
      </c>
      <c r="I120" s="14" t="s">
        <v>37</v>
      </c>
      <c r="J120" s="14" t="s">
        <v>38</v>
      </c>
      <c r="K120" s="14" t="s">
        <v>40</v>
      </c>
      <c r="L120" s="14" t="s">
        <v>39</v>
      </c>
      <c r="M120" s="14" t="s">
        <v>40</v>
      </c>
      <c r="N120" s="14" t="s">
        <v>40</v>
      </c>
      <c r="O120" s="14" t="s">
        <v>146</v>
      </c>
      <c r="P120" s="14">
        <v>69.06</v>
      </c>
      <c r="Q120" s="14">
        <v>43.15</v>
      </c>
      <c r="R120" s="14">
        <v>46.3</v>
      </c>
      <c r="S120" s="14">
        <v>3</v>
      </c>
      <c r="T120" s="14">
        <v>0</v>
      </c>
      <c r="U120" s="14" t="s">
        <v>42</v>
      </c>
      <c r="V120" s="14" t="s">
        <v>67</v>
      </c>
      <c r="W120" s="14" t="s">
        <v>44</v>
      </c>
      <c r="X120" s="14">
        <v>1</v>
      </c>
      <c r="Y120" s="14" t="s">
        <v>147</v>
      </c>
      <c r="Z120" s="17">
        <v>3.1458333333333335</v>
      </c>
      <c r="AA120" s="14">
        <v>4</v>
      </c>
      <c r="AB120" s="14">
        <v>4</v>
      </c>
      <c r="AC120" s="14">
        <v>1</v>
      </c>
      <c r="AD120" s="17">
        <f>IFERROR(Z120/(AA120*AB120)*AC120*AA120,"")</f>
        <v>0.78645833333333337</v>
      </c>
      <c r="AE120" s="17">
        <f>Z120+AD120</f>
        <v>3.932291666666667</v>
      </c>
      <c r="AF120" s="17"/>
      <c r="AG120" s="14">
        <f>AB120+AC120</f>
        <v>5</v>
      </c>
      <c r="AH120" s="18"/>
      <c r="AI120" s="19"/>
      <c r="AJ120" s="19"/>
      <c r="AK120" s="19"/>
      <c r="AL120" s="19"/>
      <c r="AM120" s="19"/>
    </row>
    <row r="121" spans="1:39" ht="15.75" customHeight="1">
      <c r="A121" s="2"/>
      <c r="B121" s="20" t="s">
        <v>328</v>
      </c>
      <c r="C121" s="14" t="s">
        <v>109</v>
      </c>
      <c r="D121" s="14" t="s">
        <v>70</v>
      </c>
      <c r="E121" s="14" t="s">
        <v>84</v>
      </c>
      <c r="F121" s="14">
        <v>24</v>
      </c>
      <c r="G121" s="15">
        <v>9.7200000000000006</v>
      </c>
      <c r="H121" s="14" t="s">
        <v>58</v>
      </c>
      <c r="I121" s="14" t="s">
        <v>37</v>
      </c>
      <c r="J121" s="14" t="s">
        <v>38</v>
      </c>
      <c r="K121" s="14" t="s">
        <v>38</v>
      </c>
      <c r="L121" s="14" t="s">
        <v>39</v>
      </c>
      <c r="M121" s="14" t="s">
        <v>40</v>
      </c>
      <c r="N121" s="14" t="s">
        <v>40</v>
      </c>
      <c r="O121" s="14" t="s">
        <v>41</v>
      </c>
      <c r="P121" s="14">
        <v>71.7</v>
      </c>
      <c r="Q121" s="14">
        <v>40</v>
      </c>
      <c r="R121" s="14">
        <v>45</v>
      </c>
      <c r="S121" s="14">
        <v>1</v>
      </c>
      <c r="T121" s="14">
        <v>0</v>
      </c>
      <c r="U121" s="14" t="s">
        <v>42</v>
      </c>
      <c r="V121" s="14" t="s">
        <v>43</v>
      </c>
      <c r="W121" s="14" t="s">
        <v>44</v>
      </c>
      <c r="X121" s="14">
        <v>2</v>
      </c>
      <c r="Y121" s="14" t="s">
        <v>45</v>
      </c>
      <c r="Z121" s="17">
        <v>1.4791666666666667</v>
      </c>
      <c r="AA121" s="14">
        <v>2</v>
      </c>
      <c r="AB121" s="14">
        <v>3</v>
      </c>
      <c r="AC121" s="14">
        <v>0</v>
      </c>
      <c r="AD121" s="17">
        <f>IFERROR(Z121/(AA121*AB121)*AC121*AA121,"")</f>
        <v>0</v>
      </c>
      <c r="AE121" s="17">
        <f>Z121+AD121</f>
        <v>1.4791666666666667</v>
      </c>
      <c r="AF121" s="17"/>
      <c r="AG121" s="14">
        <f>AB121+AC121</f>
        <v>3</v>
      </c>
      <c r="AH121" s="18"/>
      <c r="AI121" s="19"/>
      <c r="AJ121" s="19"/>
      <c r="AK121" s="19"/>
      <c r="AL121" s="19"/>
      <c r="AM121" s="19"/>
    </row>
    <row r="122" spans="1:39" ht="15.75" customHeight="1">
      <c r="A122" s="2"/>
      <c r="B122" s="20" t="s">
        <v>329</v>
      </c>
      <c r="C122" s="14" t="s">
        <v>33</v>
      </c>
      <c r="D122" s="14" t="s">
        <v>159</v>
      </c>
      <c r="E122" s="14" t="s">
        <v>330</v>
      </c>
      <c r="F122" s="14">
        <v>18</v>
      </c>
      <c r="G122" s="15">
        <v>7.29</v>
      </c>
      <c r="H122" s="14" t="s">
        <v>58</v>
      </c>
      <c r="I122" s="14" t="s">
        <v>37</v>
      </c>
      <c r="J122" s="14" t="s">
        <v>38</v>
      </c>
      <c r="K122" s="14" t="s">
        <v>40</v>
      </c>
      <c r="L122" s="14" t="s">
        <v>39</v>
      </c>
      <c r="M122" s="14" t="s">
        <v>40</v>
      </c>
      <c r="N122" s="14" t="s">
        <v>40</v>
      </c>
      <c r="O122" s="14" t="s">
        <v>290</v>
      </c>
      <c r="P122" s="14">
        <v>71.7</v>
      </c>
      <c r="Q122" s="14">
        <v>40</v>
      </c>
      <c r="R122" s="14">
        <v>45</v>
      </c>
      <c r="S122" s="14">
        <v>1</v>
      </c>
      <c r="T122" s="14">
        <v>0</v>
      </c>
      <c r="U122" s="14" t="s">
        <v>42</v>
      </c>
      <c r="V122" s="14" t="s">
        <v>43</v>
      </c>
      <c r="W122" s="14" t="s">
        <v>44</v>
      </c>
      <c r="X122" s="14">
        <v>1</v>
      </c>
      <c r="Y122" s="14" t="s">
        <v>45</v>
      </c>
      <c r="Z122" s="17">
        <v>0.77083333333333337</v>
      </c>
      <c r="AA122" s="14">
        <v>1</v>
      </c>
      <c r="AB122" s="14">
        <v>2</v>
      </c>
      <c r="AC122" s="14">
        <v>1</v>
      </c>
      <c r="AD122" s="17">
        <f>IFERROR(Z122/(AA122*AB122)*AC122*AA122,"")</f>
        <v>0.38541666666666669</v>
      </c>
      <c r="AE122" s="17">
        <f>Z122+AD122</f>
        <v>1.15625</v>
      </c>
      <c r="AF122" s="17"/>
      <c r="AG122" s="14">
        <f>AB122+AC122</f>
        <v>3</v>
      </c>
      <c r="AH122" s="18"/>
      <c r="AI122" s="19"/>
      <c r="AJ122" s="19"/>
      <c r="AK122" s="19"/>
      <c r="AL122" s="19"/>
      <c r="AM122" s="19"/>
    </row>
    <row r="123" spans="1:39" ht="15.75" customHeight="1">
      <c r="A123" s="2"/>
      <c r="B123" s="20" t="s">
        <v>331</v>
      </c>
      <c r="C123" s="14" t="s">
        <v>140</v>
      </c>
      <c r="D123" s="14" t="s">
        <v>254</v>
      </c>
      <c r="E123" s="14" t="s">
        <v>160</v>
      </c>
      <c r="F123" s="14">
        <v>33</v>
      </c>
      <c r="G123" s="15">
        <v>13.365</v>
      </c>
      <c r="H123" s="14" t="s">
        <v>58</v>
      </c>
      <c r="I123" s="14" t="s">
        <v>37</v>
      </c>
      <c r="J123" s="14" t="s">
        <v>38</v>
      </c>
      <c r="K123" s="14" t="s">
        <v>38</v>
      </c>
      <c r="L123" s="14" t="s">
        <v>50</v>
      </c>
      <c r="M123" s="14" t="s">
        <v>40</v>
      </c>
      <c r="N123" s="14" t="s">
        <v>40</v>
      </c>
      <c r="O123" s="14" t="s">
        <v>41</v>
      </c>
      <c r="P123" s="14">
        <v>71.7</v>
      </c>
      <c r="Q123" s="14">
        <v>40</v>
      </c>
      <c r="R123" s="14">
        <v>45</v>
      </c>
      <c r="S123" s="14">
        <v>2</v>
      </c>
      <c r="T123" s="14">
        <v>0</v>
      </c>
      <c r="U123" s="14" t="s">
        <v>42</v>
      </c>
      <c r="V123" s="14" t="s">
        <v>67</v>
      </c>
      <c r="W123" s="14" t="s">
        <v>44</v>
      </c>
      <c r="X123" s="14">
        <v>2</v>
      </c>
      <c r="Y123" s="14" t="s">
        <v>45</v>
      </c>
      <c r="Z123" s="17">
        <v>1.6145833333333333</v>
      </c>
      <c r="AA123" s="14">
        <v>2</v>
      </c>
      <c r="AB123" s="14">
        <v>2</v>
      </c>
      <c r="AC123" s="14">
        <v>0</v>
      </c>
      <c r="AD123" s="17">
        <f>IFERROR(Z123/(AA123*AB123)*AC123*AA123,"")</f>
        <v>0</v>
      </c>
      <c r="AE123" s="17">
        <f>Z123+AD123</f>
        <v>1.6145833333333333</v>
      </c>
      <c r="AF123" s="17"/>
      <c r="AG123" s="14">
        <f>AB123+AC123</f>
        <v>2</v>
      </c>
      <c r="AH123" s="18"/>
      <c r="AI123" s="19"/>
      <c r="AJ123" s="19"/>
      <c r="AK123" s="19"/>
      <c r="AL123" s="19"/>
      <c r="AM123" s="19"/>
    </row>
    <row r="124" spans="1:39" ht="15.75" customHeight="1">
      <c r="A124" s="2"/>
      <c r="B124" s="20" t="s">
        <v>332</v>
      </c>
      <c r="C124" s="14" t="s">
        <v>77</v>
      </c>
      <c r="D124" s="14" t="s">
        <v>333</v>
      </c>
      <c r="E124" s="14" t="s">
        <v>334</v>
      </c>
      <c r="F124" s="14">
        <v>18</v>
      </c>
      <c r="G124" s="15">
        <v>7.29</v>
      </c>
      <c r="H124" s="14" t="s">
        <v>58</v>
      </c>
      <c r="I124" s="14" t="s">
        <v>37</v>
      </c>
      <c r="J124" s="14" t="s">
        <v>38</v>
      </c>
      <c r="K124" s="14" t="s">
        <v>40</v>
      </c>
      <c r="L124" s="14" t="s">
        <v>39</v>
      </c>
      <c r="M124" s="14" t="s">
        <v>40</v>
      </c>
      <c r="N124" s="14" t="s">
        <v>40</v>
      </c>
      <c r="O124" s="14" t="s">
        <v>41</v>
      </c>
      <c r="P124" s="14">
        <v>71.7</v>
      </c>
      <c r="Q124" s="14">
        <v>40</v>
      </c>
      <c r="R124" s="14">
        <v>45</v>
      </c>
      <c r="S124" s="14">
        <v>3</v>
      </c>
      <c r="T124" s="14">
        <v>0</v>
      </c>
      <c r="U124" s="14" t="s">
        <v>42</v>
      </c>
      <c r="V124" s="14" t="s">
        <v>43</v>
      </c>
      <c r="W124" s="14" t="s">
        <v>44</v>
      </c>
      <c r="X124" s="14">
        <v>2</v>
      </c>
      <c r="Y124" s="14" t="s">
        <v>114</v>
      </c>
      <c r="Z124" s="17">
        <v>1.9166666666666667</v>
      </c>
      <c r="AA124" s="14">
        <v>3</v>
      </c>
      <c r="AB124" s="14">
        <v>4</v>
      </c>
      <c r="AC124" s="14">
        <v>0</v>
      </c>
      <c r="AD124" s="17">
        <f>IFERROR(Z124/(AA124*AB124)*AC124*AA124,"")</f>
        <v>0</v>
      </c>
      <c r="AE124" s="17">
        <f>Z124+AD124</f>
        <v>1.9166666666666667</v>
      </c>
      <c r="AF124" s="17"/>
      <c r="AG124" s="14">
        <f>AB124+AC124</f>
        <v>4</v>
      </c>
      <c r="AH124" s="18"/>
      <c r="AI124" s="19"/>
      <c r="AJ124" s="19"/>
      <c r="AK124" s="19"/>
      <c r="AL124" s="19"/>
      <c r="AM124" s="19"/>
    </row>
    <row r="125" spans="1:39" ht="15.75" customHeight="1">
      <c r="A125" s="2"/>
      <c r="B125" s="20" t="s">
        <v>335</v>
      </c>
      <c r="C125" s="14" t="s">
        <v>33</v>
      </c>
      <c r="D125" s="14" t="s">
        <v>326</v>
      </c>
      <c r="E125" s="14" t="s">
        <v>336</v>
      </c>
      <c r="F125" s="14">
        <v>18</v>
      </c>
      <c r="G125" s="15">
        <v>7.29</v>
      </c>
      <c r="H125" s="14" t="s">
        <v>58</v>
      </c>
      <c r="I125" s="14" t="s">
        <v>37</v>
      </c>
      <c r="J125" s="14" t="s">
        <v>38</v>
      </c>
      <c r="K125" s="14" t="s">
        <v>40</v>
      </c>
      <c r="L125" s="14" t="s">
        <v>39</v>
      </c>
      <c r="M125" s="14" t="s">
        <v>40</v>
      </c>
      <c r="N125" s="14" t="s">
        <v>40</v>
      </c>
      <c r="O125" s="14" t="s">
        <v>290</v>
      </c>
      <c r="P125" s="14">
        <v>71.7</v>
      </c>
      <c r="Q125" s="14">
        <v>40</v>
      </c>
      <c r="R125" s="14">
        <v>45</v>
      </c>
      <c r="S125" s="14">
        <v>1</v>
      </c>
      <c r="T125" s="14">
        <v>0</v>
      </c>
      <c r="U125" s="14" t="s">
        <v>42</v>
      </c>
      <c r="V125" s="14" t="s">
        <v>43</v>
      </c>
      <c r="W125" s="14" t="s">
        <v>44</v>
      </c>
      <c r="X125" s="14">
        <v>1</v>
      </c>
      <c r="Y125" s="14" t="s">
        <v>114</v>
      </c>
      <c r="Z125" s="17">
        <v>1.5208333333333333</v>
      </c>
      <c r="AA125" s="14">
        <v>1</v>
      </c>
      <c r="AB125" s="14">
        <v>4</v>
      </c>
      <c r="AC125" s="14">
        <v>0</v>
      </c>
      <c r="AD125" s="17">
        <f>IFERROR(Z125/(AA125*AB125)*AC125*AA125,"")</f>
        <v>0</v>
      </c>
      <c r="AE125" s="17">
        <f>Z125+AD125</f>
        <v>1.5208333333333333</v>
      </c>
      <c r="AF125" s="17"/>
      <c r="AG125" s="14">
        <f>AB125+AC125</f>
        <v>4</v>
      </c>
      <c r="AH125" s="18"/>
      <c r="AI125" s="19"/>
      <c r="AJ125" s="19"/>
      <c r="AK125" s="19"/>
      <c r="AL125" s="19"/>
      <c r="AM125" s="19"/>
    </row>
    <row r="126" spans="1:39" ht="15.75" customHeight="1">
      <c r="A126" s="2"/>
      <c r="B126" s="20" t="s">
        <v>337</v>
      </c>
      <c r="C126" s="14" t="s">
        <v>239</v>
      </c>
      <c r="D126" s="14" t="s">
        <v>192</v>
      </c>
      <c r="E126" s="14" t="s">
        <v>245</v>
      </c>
      <c r="F126" s="14">
        <v>26</v>
      </c>
      <c r="G126" s="15">
        <v>10.53</v>
      </c>
      <c r="H126" s="14" t="s">
        <v>58</v>
      </c>
      <c r="I126" s="14" t="s">
        <v>37</v>
      </c>
      <c r="J126" s="14" t="s">
        <v>38</v>
      </c>
      <c r="K126" s="14" t="s">
        <v>40</v>
      </c>
      <c r="L126" s="14" t="s">
        <v>39</v>
      </c>
      <c r="M126" s="14" t="s">
        <v>40</v>
      </c>
      <c r="N126" s="14" t="s">
        <v>40</v>
      </c>
      <c r="O126" s="14" t="s">
        <v>53</v>
      </c>
      <c r="P126" s="14">
        <v>71.7</v>
      </c>
      <c r="Q126" s="14">
        <v>40</v>
      </c>
      <c r="R126" s="14">
        <v>45</v>
      </c>
      <c r="S126" s="14">
        <v>1</v>
      </c>
      <c r="T126" s="14">
        <v>0</v>
      </c>
      <c r="U126" s="14" t="s">
        <v>42</v>
      </c>
      <c r="V126" s="14" t="s">
        <v>43</v>
      </c>
      <c r="W126" s="14" t="s">
        <v>44</v>
      </c>
      <c r="X126" s="14">
        <v>1</v>
      </c>
      <c r="Y126" s="14" t="s">
        <v>114</v>
      </c>
      <c r="Z126" s="17">
        <v>2.3784722222222223</v>
      </c>
      <c r="AA126" s="14">
        <v>2</v>
      </c>
      <c r="AB126" s="14">
        <v>4</v>
      </c>
      <c r="AC126" s="14">
        <v>0</v>
      </c>
      <c r="AD126" s="17">
        <f>IFERROR(Z126/(AA126*AB126)*AC126*AA126,"")</f>
        <v>0</v>
      </c>
      <c r="AE126" s="17">
        <f>Z126+AD126</f>
        <v>2.3784722222222223</v>
      </c>
      <c r="AF126" s="17"/>
      <c r="AG126" s="14">
        <f>AB126+AC126</f>
        <v>4</v>
      </c>
      <c r="AH126" s="18"/>
      <c r="AI126" s="19"/>
      <c r="AJ126" s="19"/>
      <c r="AK126" s="19"/>
      <c r="AL126" s="19"/>
      <c r="AM126" s="19"/>
    </row>
    <row r="127" spans="1:39" ht="15.75" customHeight="1">
      <c r="A127" s="2"/>
      <c r="B127" s="20" t="s">
        <v>338</v>
      </c>
      <c r="C127" s="14" t="s">
        <v>109</v>
      </c>
      <c r="D127" s="14" t="s">
        <v>169</v>
      </c>
      <c r="E127" s="14" t="s">
        <v>35</v>
      </c>
      <c r="F127" s="14">
        <v>44</v>
      </c>
      <c r="G127" s="15">
        <v>23.54</v>
      </c>
      <c r="H127" s="14" t="s">
        <v>58</v>
      </c>
      <c r="I127" s="14" t="s">
        <v>195</v>
      </c>
      <c r="J127" s="14" t="s">
        <v>38</v>
      </c>
      <c r="K127" s="14" t="s">
        <v>38</v>
      </c>
      <c r="L127" s="14" t="s">
        <v>196</v>
      </c>
      <c r="M127" s="14" t="s">
        <v>40</v>
      </c>
      <c r="N127" s="14" t="s">
        <v>40</v>
      </c>
      <c r="O127" s="14" t="s">
        <v>100</v>
      </c>
      <c r="P127" s="14">
        <v>89.69</v>
      </c>
      <c r="Q127" s="14">
        <v>44.65</v>
      </c>
      <c r="R127" s="14">
        <v>70.11</v>
      </c>
      <c r="S127" s="14">
        <v>1</v>
      </c>
      <c r="T127" s="14">
        <v>0</v>
      </c>
      <c r="U127" s="14" t="s">
        <v>195</v>
      </c>
      <c r="V127" s="14" t="s">
        <v>195</v>
      </c>
      <c r="W127" s="14" t="s">
        <v>85</v>
      </c>
      <c r="X127" s="14">
        <v>0</v>
      </c>
      <c r="Y127" s="14" t="s">
        <v>114</v>
      </c>
      <c r="Z127" s="17">
        <v>8.1423611111111107</v>
      </c>
      <c r="AA127" s="14">
        <v>5</v>
      </c>
      <c r="AB127" s="14">
        <v>5</v>
      </c>
      <c r="AC127" s="14">
        <v>1</v>
      </c>
      <c r="AD127" s="17">
        <f>IFERROR(Z127/(AA127*AB127)*AC127*AA127,"")</f>
        <v>1.6284722222222223</v>
      </c>
      <c r="AE127" s="17">
        <f>Z127+AD127</f>
        <v>9.7708333333333321</v>
      </c>
      <c r="AF127" s="17"/>
      <c r="AG127" s="14">
        <f>AB127+AC127</f>
        <v>6</v>
      </c>
      <c r="AH127" s="18"/>
      <c r="AI127" s="19"/>
      <c r="AJ127" s="19"/>
      <c r="AK127" s="19"/>
      <c r="AL127" s="19"/>
      <c r="AM127" s="19"/>
    </row>
    <row r="128" spans="1:39" ht="15.75" customHeight="1">
      <c r="A128" s="2"/>
      <c r="B128" s="20" t="s">
        <v>339</v>
      </c>
      <c r="C128" s="14" t="s">
        <v>306</v>
      </c>
      <c r="D128" s="14" t="s">
        <v>169</v>
      </c>
      <c r="E128" s="14" t="s">
        <v>35</v>
      </c>
      <c r="F128" s="14">
        <v>38</v>
      </c>
      <c r="G128" s="15">
        <v>15.39</v>
      </c>
      <c r="H128" s="14" t="s">
        <v>58</v>
      </c>
      <c r="I128" s="14" t="s">
        <v>37</v>
      </c>
      <c r="J128" s="14" t="s">
        <v>38</v>
      </c>
      <c r="K128" s="14" t="s">
        <v>40</v>
      </c>
      <c r="L128" s="14" t="s">
        <v>39</v>
      </c>
      <c r="M128" s="14" t="s">
        <v>40</v>
      </c>
      <c r="N128" s="14" t="s">
        <v>40</v>
      </c>
      <c r="O128" s="14" t="s">
        <v>41</v>
      </c>
      <c r="P128" s="14">
        <v>71.7</v>
      </c>
      <c r="Q128" s="14">
        <v>40</v>
      </c>
      <c r="R128" s="14">
        <v>45</v>
      </c>
      <c r="S128" s="14">
        <v>2</v>
      </c>
      <c r="T128" s="14">
        <v>0</v>
      </c>
      <c r="U128" s="14" t="s">
        <v>42</v>
      </c>
      <c r="V128" s="14" t="s">
        <v>43</v>
      </c>
      <c r="W128" s="14" t="s">
        <v>44</v>
      </c>
      <c r="X128" s="14">
        <v>2</v>
      </c>
      <c r="Y128" s="14" t="s">
        <v>114</v>
      </c>
      <c r="Z128" s="17">
        <v>5.2326388888888893</v>
      </c>
      <c r="AA128" s="14">
        <v>4</v>
      </c>
      <c r="AB128" s="14">
        <v>5</v>
      </c>
      <c r="AC128" s="14">
        <v>1</v>
      </c>
      <c r="AD128" s="17">
        <f>IFERROR(Z128/(AA128*AB128)*AC128*AA128,"")</f>
        <v>1.0465277777777779</v>
      </c>
      <c r="AE128" s="17">
        <f>Z128+AD128</f>
        <v>6.2791666666666668</v>
      </c>
      <c r="AF128" s="17"/>
      <c r="AG128" s="14">
        <f>AB128+AC128</f>
        <v>6</v>
      </c>
      <c r="AH128" s="18"/>
      <c r="AI128" s="19"/>
      <c r="AJ128" s="19"/>
      <c r="AK128" s="19"/>
      <c r="AL128" s="19"/>
      <c r="AM128" s="19"/>
    </row>
    <row r="129" spans="1:39" ht="15.75" customHeight="1">
      <c r="A129" s="2"/>
      <c r="B129" s="20" t="s">
        <v>340</v>
      </c>
      <c r="C129" s="14" t="s">
        <v>162</v>
      </c>
      <c r="D129" s="14" t="s">
        <v>254</v>
      </c>
      <c r="E129" s="14" t="s">
        <v>35</v>
      </c>
      <c r="F129" s="14">
        <v>17</v>
      </c>
      <c r="G129" s="15">
        <v>6.8849999999999998</v>
      </c>
      <c r="H129" s="14" t="s">
        <v>58</v>
      </c>
      <c r="I129" s="14" t="s">
        <v>37</v>
      </c>
      <c r="J129" s="14" t="s">
        <v>38</v>
      </c>
      <c r="K129" s="14" t="s">
        <v>38</v>
      </c>
      <c r="L129" s="14" t="s">
        <v>39</v>
      </c>
      <c r="M129" s="14" t="s">
        <v>40</v>
      </c>
      <c r="N129" s="14" t="s">
        <v>40</v>
      </c>
      <c r="O129" s="14" t="s">
        <v>41</v>
      </c>
      <c r="P129" s="14">
        <v>71.7</v>
      </c>
      <c r="Q129" s="14">
        <v>40</v>
      </c>
      <c r="R129" s="14">
        <v>45</v>
      </c>
      <c r="S129" s="14">
        <v>1</v>
      </c>
      <c r="T129" s="14">
        <v>0</v>
      </c>
      <c r="U129" s="14" t="s">
        <v>42</v>
      </c>
      <c r="V129" s="14" t="s">
        <v>43</v>
      </c>
      <c r="W129" s="14" t="s">
        <v>44</v>
      </c>
      <c r="X129" s="14">
        <v>2</v>
      </c>
      <c r="Y129" s="14" t="s">
        <v>45</v>
      </c>
      <c r="Z129" s="17">
        <v>1.0208333333333333</v>
      </c>
      <c r="AA129" s="14">
        <v>1</v>
      </c>
      <c r="AB129" s="14">
        <v>3</v>
      </c>
      <c r="AC129" s="14">
        <v>0</v>
      </c>
      <c r="AD129" s="17">
        <f>IFERROR(Z129/(AA129*AB129)*AC129*AA129,"")</f>
        <v>0</v>
      </c>
      <c r="AE129" s="17">
        <f>Z129+AD129</f>
        <v>1.0208333333333333</v>
      </c>
      <c r="AF129" s="17"/>
      <c r="AG129" s="14">
        <f>AB129+AC129</f>
        <v>3</v>
      </c>
      <c r="AH129" s="18"/>
      <c r="AI129" s="19"/>
      <c r="AJ129" s="19"/>
      <c r="AK129" s="19"/>
      <c r="AL129" s="19"/>
      <c r="AM129" s="19"/>
    </row>
    <row r="130" spans="1:39" ht="15.75" customHeight="1">
      <c r="A130" s="2"/>
      <c r="B130" s="20" t="s">
        <v>341</v>
      </c>
      <c r="C130" s="14" t="s">
        <v>149</v>
      </c>
      <c r="D130" s="14" t="s">
        <v>326</v>
      </c>
      <c r="E130" s="14" t="s">
        <v>84</v>
      </c>
      <c r="F130" s="14">
        <v>18</v>
      </c>
      <c r="G130" s="15">
        <v>7.29</v>
      </c>
      <c r="H130" s="14" t="s">
        <v>58</v>
      </c>
      <c r="I130" s="14" t="s">
        <v>37</v>
      </c>
      <c r="J130" s="14" t="s">
        <v>40</v>
      </c>
      <c r="K130" s="14" t="s">
        <v>40</v>
      </c>
      <c r="L130" s="14" t="s">
        <v>39</v>
      </c>
      <c r="M130" s="14" t="s">
        <v>40</v>
      </c>
      <c r="N130" s="14" t="s">
        <v>38</v>
      </c>
      <c r="O130" s="14" t="s">
        <v>41</v>
      </c>
      <c r="P130" s="14">
        <v>71.7</v>
      </c>
      <c r="Q130" s="14">
        <v>40</v>
      </c>
      <c r="R130" s="14">
        <v>45</v>
      </c>
      <c r="S130" s="14">
        <v>1</v>
      </c>
      <c r="T130" s="14">
        <v>0</v>
      </c>
      <c r="U130" s="14" t="s">
        <v>42</v>
      </c>
      <c r="V130" s="14" t="s">
        <v>43</v>
      </c>
      <c r="W130" s="14" t="s">
        <v>44</v>
      </c>
      <c r="X130" s="14">
        <v>2</v>
      </c>
      <c r="Y130" s="14" t="s">
        <v>114</v>
      </c>
      <c r="Z130" s="17">
        <v>1.5833333333333333</v>
      </c>
      <c r="AA130" s="14">
        <v>1</v>
      </c>
      <c r="AB130" s="14">
        <v>5</v>
      </c>
      <c r="AC130" s="14">
        <v>0</v>
      </c>
      <c r="AD130" s="17">
        <f>IFERROR(Z130/(AA130*AB130)*AC130*AA130,"")</f>
        <v>0</v>
      </c>
      <c r="AE130" s="17">
        <f>Z130+AD130</f>
        <v>1.5833333333333333</v>
      </c>
      <c r="AF130" s="17"/>
      <c r="AG130" s="14">
        <f>AB130+AC130</f>
        <v>5</v>
      </c>
      <c r="AH130" s="18"/>
      <c r="AI130" s="19"/>
      <c r="AJ130" s="19"/>
      <c r="AK130" s="19"/>
      <c r="AL130" s="19"/>
      <c r="AM130" s="19"/>
    </row>
    <row r="131" spans="1:39" ht="15.75" customHeight="1">
      <c r="A131" s="2"/>
      <c r="B131" s="20" t="s">
        <v>342</v>
      </c>
      <c r="C131" s="14" t="s">
        <v>239</v>
      </c>
      <c r="D131" s="14" t="s">
        <v>163</v>
      </c>
      <c r="E131" s="14" t="s">
        <v>343</v>
      </c>
      <c r="F131" s="14">
        <v>20</v>
      </c>
      <c r="G131" s="15">
        <v>8.1</v>
      </c>
      <c r="H131" s="14" t="s">
        <v>58</v>
      </c>
      <c r="I131" s="14" t="s">
        <v>37</v>
      </c>
      <c r="J131" s="14" t="s">
        <v>38</v>
      </c>
      <c r="K131" s="14" t="s">
        <v>38</v>
      </c>
      <c r="L131" s="14" t="s">
        <v>50</v>
      </c>
      <c r="M131" s="14" t="s">
        <v>40</v>
      </c>
      <c r="N131" s="14" t="s">
        <v>40</v>
      </c>
      <c r="O131" s="14" t="s">
        <v>41</v>
      </c>
      <c r="P131" s="14">
        <v>71.7</v>
      </c>
      <c r="Q131" s="14">
        <v>40</v>
      </c>
      <c r="R131" s="14">
        <v>45</v>
      </c>
      <c r="S131" s="14">
        <v>1</v>
      </c>
      <c r="T131" s="14">
        <v>0</v>
      </c>
      <c r="U131" s="14" t="s">
        <v>42</v>
      </c>
      <c r="V131" s="14" t="s">
        <v>43</v>
      </c>
      <c r="W131" s="14" t="s">
        <v>44</v>
      </c>
      <c r="X131" s="14">
        <v>1</v>
      </c>
      <c r="Y131" s="14" t="s">
        <v>114</v>
      </c>
      <c r="Z131" s="17">
        <v>2.2604166666666665</v>
      </c>
      <c r="AA131" s="14">
        <v>2</v>
      </c>
      <c r="AB131" s="14">
        <v>4</v>
      </c>
      <c r="AC131" s="14">
        <v>0</v>
      </c>
      <c r="AD131" s="17">
        <f>IFERROR(Z131/(AA131*AB131)*AC131*AA131,"")</f>
        <v>0</v>
      </c>
      <c r="AE131" s="17">
        <f>Z131+AD131</f>
        <v>2.2604166666666665</v>
      </c>
      <c r="AF131" s="17"/>
      <c r="AG131" s="14">
        <f>AB131+AC131</f>
        <v>4</v>
      </c>
      <c r="AH131" s="18"/>
      <c r="AI131" s="19"/>
      <c r="AJ131" s="19"/>
      <c r="AK131" s="19"/>
      <c r="AL131" s="19"/>
      <c r="AM131" s="19"/>
    </row>
    <row r="132" spans="1:39" ht="15.75" customHeight="1">
      <c r="A132" s="2"/>
      <c r="B132" s="20" t="s">
        <v>344</v>
      </c>
      <c r="C132" s="14" t="s">
        <v>345</v>
      </c>
      <c r="D132" s="14" t="s">
        <v>231</v>
      </c>
      <c r="E132" s="14" t="s">
        <v>35</v>
      </c>
      <c r="F132" s="14">
        <v>18</v>
      </c>
      <c r="G132" s="15">
        <v>7.29</v>
      </c>
      <c r="H132" s="14" t="s">
        <v>58</v>
      </c>
      <c r="I132" s="14" t="s">
        <v>37</v>
      </c>
      <c r="J132" s="14" t="s">
        <v>40</v>
      </c>
      <c r="K132" s="14" t="s">
        <v>40</v>
      </c>
      <c r="L132" s="14" t="s">
        <v>50</v>
      </c>
      <c r="M132" s="14" t="s">
        <v>40</v>
      </c>
      <c r="N132" s="14" t="s">
        <v>40</v>
      </c>
      <c r="O132" s="14" t="s">
        <v>41</v>
      </c>
      <c r="P132" s="14">
        <v>71.7</v>
      </c>
      <c r="Q132" s="14">
        <v>40</v>
      </c>
      <c r="R132" s="14">
        <v>45</v>
      </c>
      <c r="S132" s="14">
        <v>1</v>
      </c>
      <c r="T132" s="14">
        <v>0</v>
      </c>
      <c r="U132" s="14" t="s">
        <v>112</v>
      </c>
      <c r="V132" s="14" t="s">
        <v>113</v>
      </c>
      <c r="W132" s="14" t="s">
        <v>44</v>
      </c>
      <c r="X132" s="14">
        <v>2</v>
      </c>
      <c r="Y132" s="14" t="s">
        <v>114</v>
      </c>
      <c r="Z132" s="17">
        <v>2.4027777777777777</v>
      </c>
      <c r="AA132" s="14">
        <v>2</v>
      </c>
      <c r="AB132" s="14">
        <v>5</v>
      </c>
      <c r="AC132" s="14">
        <v>0</v>
      </c>
      <c r="AD132" s="17">
        <f>IFERROR(Z132/(AA132*AB132)*AC132*AA132,"")</f>
        <v>0</v>
      </c>
      <c r="AE132" s="17">
        <f>Z132+AD132</f>
        <v>2.4027777777777777</v>
      </c>
      <c r="AF132" s="17"/>
      <c r="AG132" s="14">
        <f>AB132+AC132</f>
        <v>5</v>
      </c>
      <c r="AH132" s="18"/>
      <c r="AI132" s="19"/>
      <c r="AJ132" s="19"/>
      <c r="AK132" s="19"/>
      <c r="AL132" s="19"/>
      <c r="AM132" s="19"/>
    </row>
    <row r="133" spans="1:39" ht="15.75" customHeight="1">
      <c r="A133" s="2"/>
      <c r="B133" s="20" t="s">
        <v>346</v>
      </c>
      <c r="C133" s="14" t="s">
        <v>347</v>
      </c>
      <c r="D133" s="14" t="s">
        <v>110</v>
      </c>
      <c r="E133" s="14" t="s">
        <v>35</v>
      </c>
      <c r="F133" s="14">
        <v>15</v>
      </c>
      <c r="G133" s="15">
        <v>6.15</v>
      </c>
      <c r="H133" s="14" t="s">
        <v>58</v>
      </c>
      <c r="I133" s="14" t="s">
        <v>37</v>
      </c>
      <c r="J133" s="14" t="s">
        <v>38</v>
      </c>
      <c r="K133" s="14" t="s">
        <v>40</v>
      </c>
      <c r="L133" s="14" t="s">
        <v>50</v>
      </c>
      <c r="M133" s="14" t="s">
        <v>40</v>
      </c>
      <c r="N133" s="14" t="s">
        <v>40</v>
      </c>
      <c r="O133" s="14" t="s">
        <v>290</v>
      </c>
      <c r="P133" s="14">
        <v>73.400000000000006</v>
      </c>
      <c r="Q133" s="14">
        <v>40.5</v>
      </c>
      <c r="R133" s="14">
        <v>45.8</v>
      </c>
      <c r="S133" s="14">
        <v>1</v>
      </c>
      <c r="T133" s="14">
        <v>0</v>
      </c>
      <c r="U133" s="14" t="s">
        <v>42</v>
      </c>
      <c r="V133" s="14" t="s">
        <v>67</v>
      </c>
      <c r="W133" s="14" t="s">
        <v>85</v>
      </c>
      <c r="X133" s="14">
        <v>1</v>
      </c>
      <c r="Y133" s="14" t="s">
        <v>114</v>
      </c>
      <c r="Z133" s="17">
        <v>2.0347222222222223</v>
      </c>
      <c r="AA133" s="14">
        <v>1</v>
      </c>
      <c r="AB133" s="14">
        <v>5</v>
      </c>
      <c r="AC133" s="14">
        <v>0</v>
      </c>
      <c r="AD133" s="17">
        <f>IFERROR(Z133/(AA133*AB133)*AC133*AA133,"")</f>
        <v>0</v>
      </c>
      <c r="AE133" s="17">
        <f>Z133+AD133</f>
        <v>2.0347222222222223</v>
      </c>
      <c r="AF133" s="17"/>
      <c r="AG133" s="14">
        <f>AB133+AC133</f>
        <v>5</v>
      </c>
      <c r="AH133" s="18"/>
      <c r="AI133" s="19"/>
      <c r="AJ133" s="19"/>
      <c r="AK133" s="19"/>
      <c r="AL133" s="19"/>
      <c r="AM133" s="19"/>
    </row>
    <row r="134" spans="1:39" ht="15.75" customHeight="1">
      <c r="A134" s="2"/>
      <c r="B134" s="20" t="s">
        <v>348</v>
      </c>
      <c r="C134" s="14" t="s">
        <v>205</v>
      </c>
      <c r="D134" s="14" t="s">
        <v>326</v>
      </c>
      <c r="E134" s="14" t="s">
        <v>111</v>
      </c>
      <c r="F134" s="14">
        <v>16</v>
      </c>
      <c r="G134" s="15">
        <v>6.48</v>
      </c>
      <c r="H134" s="14" t="s">
        <v>58</v>
      </c>
      <c r="I134" s="14" t="s">
        <v>37</v>
      </c>
      <c r="J134" s="14" t="s">
        <v>38</v>
      </c>
      <c r="K134" s="14" t="s">
        <v>38</v>
      </c>
      <c r="L134" s="14" t="s">
        <v>39</v>
      </c>
      <c r="M134" s="14" t="s">
        <v>40</v>
      </c>
      <c r="N134" s="14" t="s">
        <v>38</v>
      </c>
      <c r="O134" s="14" t="s">
        <v>41</v>
      </c>
      <c r="P134" s="14">
        <v>71.7</v>
      </c>
      <c r="Q134" s="14">
        <v>40</v>
      </c>
      <c r="R134" s="14">
        <v>45</v>
      </c>
      <c r="S134" s="14">
        <v>1</v>
      </c>
      <c r="T134" s="14">
        <v>0</v>
      </c>
      <c r="U134" s="14" t="s">
        <v>42</v>
      </c>
      <c r="V134" s="14" t="s">
        <v>43</v>
      </c>
      <c r="W134" s="14" t="s">
        <v>44</v>
      </c>
      <c r="X134" s="14">
        <v>1</v>
      </c>
      <c r="Y134" s="14" t="s">
        <v>114</v>
      </c>
      <c r="Z134" s="17">
        <v>1.5659722222222223</v>
      </c>
      <c r="AA134" s="14">
        <v>1</v>
      </c>
      <c r="AB134" s="14">
        <v>5</v>
      </c>
      <c r="AC134" s="14">
        <v>0</v>
      </c>
      <c r="AD134" s="17">
        <f>IFERROR(Z134/(AA134*AB134)*AC134*AA134,"")</f>
        <v>0</v>
      </c>
      <c r="AE134" s="17">
        <f>Z134+AD134</f>
        <v>1.5659722222222223</v>
      </c>
      <c r="AF134" s="17"/>
      <c r="AG134" s="14">
        <f>AB134+AC134</f>
        <v>5</v>
      </c>
      <c r="AH134" s="18"/>
      <c r="AI134" s="19"/>
      <c r="AJ134" s="19"/>
      <c r="AK134" s="19"/>
      <c r="AL134" s="19"/>
      <c r="AM134" s="19"/>
    </row>
    <row r="135" spans="1:39" ht="15.75" customHeight="1">
      <c r="A135" s="2"/>
      <c r="B135" s="20" t="s">
        <v>349</v>
      </c>
      <c r="C135" s="14" t="s">
        <v>350</v>
      </c>
      <c r="D135" s="14" t="s">
        <v>231</v>
      </c>
      <c r="E135" s="14" t="s">
        <v>336</v>
      </c>
      <c r="F135" s="14">
        <v>18</v>
      </c>
      <c r="G135" s="15">
        <v>7.29</v>
      </c>
      <c r="H135" s="14" t="s">
        <v>58</v>
      </c>
      <c r="I135" s="14" t="s">
        <v>37</v>
      </c>
      <c r="J135" s="14" t="s">
        <v>38</v>
      </c>
      <c r="K135" s="14" t="s">
        <v>40</v>
      </c>
      <c r="L135" s="14" t="s">
        <v>39</v>
      </c>
      <c r="M135" s="14" t="s">
        <v>40</v>
      </c>
      <c r="N135" s="14" t="s">
        <v>40</v>
      </c>
      <c r="O135" s="14" t="s">
        <v>41</v>
      </c>
      <c r="P135" s="14">
        <v>71.7</v>
      </c>
      <c r="Q135" s="14">
        <v>40</v>
      </c>
      <c r="R135" s="14">
        <v>45</v>
      </c>
      <c r="S135" s="14">
        <v>1</v>
      </c>
      <c r="T135" s="14">
        <v>0</v>
      </c>
      <c r="U135" s="14" t="s">
        <v>42</v>
      </c>
      <c r="V135" s="14" t="s">
        <v>43</v>
      </c>
      <c r="W135" s="14" t="s">
        <v>44</v>
      </c>
      <c r="X135" s="14">
        <v>2</v>
      </c>
      <c r="Y135" s="14" t="s">
        <v>114</v>
      </c>
      <c r="Z135" s="17">
        <v>1.6006944444444444</v>
      </c>
      <c r="AA135" s="14">
        <v>2</v>
      </c>
      <c r="AB135" s="14">
        <v>5</v>
      </c>
      <c r="AC135" s="14">
        <v>0</v>
      </c>
      <c r="AD135" s="17">
        <f>IFERROR(Z135/(AA135*AB135)*AC135*AA135,"")</f>
        <v>0</v>
      </c>
      <c r="AE135" s="17">
        <f>Z135+AD135</f>
        <v>1.6006944444444444</v>
      </c>
      <c r="AF135" s="17"/>
      <c r="AG135" s="14">
        <f>AB135+AC135</f>
        <v>5</v>
      </c>
      <c r="AH135" s="18" t="s">
        <v>351</v>
      </c>
      <c r="AI135" s="19"/>
      <c r="AJ135" s="19"/>
      <c r="AK135" s="19"/>
      <c r="AL135" s="19"/>
      <c r="AM135" s="19"/>
    </row>
    <row r="136" spans="1:39" ht="15.75" customHeight="1">
      <c r="A136" s="2"/>
      <c r="B136" s="20" t="s">
        <v>352</v>
      </c>
      <c r="C136" s="14" t="s">
        <v>97</v>
      </c>
      <c r="D136" s="14" t="s">
        <v>169</v>
      </c>
      <c r="E136" s="14" t="s">
        <v>35</v>
      </c>
      <c r="F136" s="14">
        <v>20</v>
      </c>
      <c r="G136" s="15">
        <v>9</v>
      </c>
      <c r="H136" s="14" t="s">
        <v>36</v>
      </c>
      <c r="I136" s="14" t="s">
        <v>195</v>
      </c>
      <c r="J136" s="14" t="s">
        <v>40</v>
      </c>
      <c r="K136" s="14" t="s">
        <v>40</v>
      </c>
      <c r="L136" s="14" t="s">
        <v>196</v>
      </c>
      <c r="M136" s="14" t="s">
        <v>40</v>
      </c>
      <c r="N136" s="14" t="s">
        <v>40</v>
      </c>
      <c r="O136" s="14" t="s">
        <v>41</v>
      </c>
      <c r="P136" s="14">
        <v>84.06</v>
      </c>
      <c r="Q136" s="14">
        <v>41.19</v>
      </c>
      <c r="R136" s="14">
        <v>68.34</v>
      </c>
      <c r="S136" s="14">
        <v>2</v>
      </c>
      <c r="T136" s="14">
        <v>0</v>
      </c>
      <c r="U136" s="14" t="s">
        <v>195</v>
      </c>
      <c r="V136" s="14" t="s">
        <v>195</v>
      </c>
      <c r="W136" s="14" t="s">
        <v>44</v>
      </c>
      <c r="X136" s="14">
        <v>0</v>
      </c>
      <c r="Y136" s="14" t="s">
        <v>114</v>
      </c>
      <c r="Z136" s="17">
        <v>4.3680555555555554</v>
      </c>
      <c r="AA136" s="14">
        <v>3</v>
      </c>
      <c r="AB136" s="14">
        <v>4</v>
      </c>
      <c r="AC136" s="14">
        <v>1</v>
      </c>
      <c r="AD136" s="17">
        <f>IFERROR(Z136/(AA136*AB136)*AC136*AA136,"")</f>
        <v>1.0920138888888888</v>
      </c>
      <c r="AE136" s="17">
        <f>Z136+AD136</f>
        <v>5.4600694444444446</v>
      </c>
      <c r="AF136" s="17"/>
      <c r="AG136" s="14">
        <f>AB136+AC136</f>
        <v>5</v>
      </c>
      <c r="AH136" s="18" t="s">
        <v>353</v>
      </c>
      <c r="AI136" s="19"/>
      <c r="AJ136" s="19"/>
      <c r="AK136" s="19"/>
      <c r="AL136" s="19"/>
      <c r="AM136" s="19"/>
    </row>
    <row r="137" spans="1:39" ht="15.75" customHeight="1">
      <c r="A137" s="2"/>
      <c r="B137" s="20" t="s">
        <v>354</v>
      </c>
      <c r="C137" s="14" t="s">
        <v>149</v>
      </c>
      <c r="D137" s="14" t="s">
        <v>88</v>
      </c>
      <c r="E137" s="14" t="s">
        <v>121</v>
      </c>
      <c r="F137" s="14">
        <v>22</v>
      </c>
      <c r="G137" s="15">
        <v>8.91</v>
      </c>
      <c r="H137" s="14" t="s">
        <v>58</v>
      </c>
      <c r="I137" s="14" t="s">
        <v>37</v>
      </c>
      <c r="J137" s="14" t="s">
        <v>38</v>
      </c>
      <c r="K137" s="14" t="s">
        <v>38</v>
      </c>
      <c r="L137" s="14" t="s">
        <v>39</v>
      </c>
      <c r="M137" s="14" t="s">
        <v>40</v>
      </c>
      <c r="N137" s="14" t="s">
        <v>40</v>
      </c>
      <c r="O137" s="14" t="s">
        <v>127</v>
      </c>
      <c r="P137" s="14">
        <v>71.7</v>
      </c>
      <c r="Q137" s="14">
        <v>40</v>
      </c>
      <c r="R137" s="14">
        <v>45</v>
      </c>
      <c r="S137" s="14">
        <v>1</v>
      </c>
      <c r="T137" s="14">
        <v>0</v>
      </c>
      <c r="U137" s="14" t="s">
        <v>42</v>
      </c>
      <c r="V137" s="14" t="s">
        <v>43</v>
      </c>
      <c r="W137" s="14" t="s">
        <v>44</v>
      </c>
      <c r="X137" s="14">
        <v>1</v>
      </c>
      <c r="Y137" s="14" t="s">
        <v>114</v>
      </c>
      <c r="Z137" s="17">
        <v>1.2708333333333333</v>
      </c>
      <c r="AA137" s="14">
        <v>1</v>
      </c>
      <c r="AB137" s="14">
        <v>4</v>
      </c>
      <c r="AC137" s="14">
        <v>0</v>
      </c>
      <c r="AD137" s="17">
        <f>IFERROR(Z137/(AA137*AB137)*AC137*AA137,"")</f>
        <v>0</v>
      </c>
      <c r="AE137" s="17">
        <f>Z137+AD137</f>
        <v>1.2708333333333333</v>
      </c>
      <c r="AF137" s="17"/>
      <c r="AG137" s="14">
        <f>AB137+AC137</f>
        <v>4</v>
      </c>
      <c r="AH137" s="18"/>
      <c r="AI137" s="19"/>
      <c r="AJ137" s="19"/>
      <c r="AK137" s="19"/>
      <c r="AL137" s="19"/>
      <c r="AM137" s="19"/>
    </row>
    <row r="138" spans="1:39" ht="15.75" customHeight="1">
      <c r="A138" s="2"/>
      <c r="B138" s="20" t="s">
        <v>355</v>
      </c>
      <c r="C138" s="14" t="s">
        <v>116</v>
      </c>
      <c r="D138" s="14" t="s">
        <v>231</v>
      </c>
      <c r="E138" s="14" t="s">
        <v>232</v>
      </c>
      <c r="F138" s="14">
        <v>28</v>
      </c>
      <c r="G138" s="15">
        <v>11.34</v>
      </c>
      <c r="H138" s="14" t="s">
        <v>58</v>
      </c>
      <c r="I138" s="14" t="s">
        <v>37</v>
      </c>
      <c r="J138" s="14" t="s">
        <v>38</v>
      </c>
      <c r="K138" s="14" t="s">
        <v>38</v>
      </c>
      <c r="L138" s="14" t="s">
        <v>39</v>
      </c>
      <c r="M138" s="14" t="s">
        <v>40</v>
      </c>
      <c r="N138" s="14" t="s">
        <v>38</v>
      </c>
      <c r="O138" s="14" t="s">
        <v>41</v>
      </c>
      <c r="P138" s="14">
        <v>71.7</v>
      </c>
      <c r="Q138" s="14">
        <v>40</v>
      </c>
      <c r="R138" s="14">
        <v>45</v>
      </c>
      <c r="S138" s="14">
        <v>3</v>
      </c>
      <c r="T138" s="14">
        <v>0</v>
      </c>
      <c r="U138" s="14" t="s">
        <v>42</v>
      </c>
      <c r="V138" s="14" t="s">
        <v>43</v>
      </c>
      <c r="W138" s="14" t="s">
        <v>44</v>
      </c>
      <c r="X138" s="14">
        <v>2</v>
      </c>
      <c r="Y138" s="14" t="s">
        <v>114</v>
      </c>
      <c r="Z138" s="17">
        <v>2.8888888888888888</v>
      </c>
      <c r="AA138" s="14">
        <v>2</v>
      </c>
      <c r="AB138" s="14">
        <v>5</v>
      </c>
      <c r="AC138" s="14">
        <v>0</v>
      </c>
      <c r="AD138" s="17">
        <f>IFERROR(Z138/(AA138*AB138)*AC138*AA138,"")</f>
        <v>0</v>
      </c>
      <c r="AE138" s="17">
        <f>Z138+AD138</f>
        <v>2.8888888888888888</v>
      </c>
      <c r="AF138" s="17"/>
      <c r="AG138" s="14">
        <f>AB138+AC138</f>
        <v>5</v>
      </c>
      <c r="AH138" s="18"/>
      <c r="AI138" s="19"/>
      <c r="AJ138" s="19"/>
      <c r="AK138" s="19"/>
      <c r="AL138" s="19"/>
      <c r="AM138" s="19"/>
    </row>
    <row r="139" spans="1:39" ht="15.75" customHeight="1">
      <c r="A139" s="2"/>
      <c r="B139" s="20" t="s">
        <v>356</v>
      </c>
      <c r="C139" s="14" t="s">
        <v>116</v>
      </c>
      <c r="D139" s="14" t="s">
        <v>66</v>
      </c>
      <c r="E139" s="14" t="s">
        <v>357</v>
      </c>
      <c r="F139" s="14">
        <v>6</v>
      </c>
      <c r="G139" s="15">
        <v>2.34</v>
      </c>
      <c r="H139" s="14" t="s">
        <v>58</v>
      </c>
      <c r="I139" s="14" t="s">
        <v>37</v>
      </c>
      <c r="J139" s="14" t="s">
        <v>38</v>
      </c>
      <c r="K139" s="14" t="s">
        <v>40</v>
      </c>
      <c r="L139" s="14" t="s">
        <v>39</v>
      </c>
      <c r="M139" s="14" t="s">
        <v>40</v>
      </c>
      <c r="N139" s="14" t="s">
        <v>38</v>
      </c>
      <c r="O139" s="14" t="s">
        <v>290</v>
      </c>
      <c r="P139" s="14">
        <v>69.06</v>
      </c>
      <c r="Q139" s="14">
        <v>43.15</v>
      </c>
      <c r="R139" s="14">
        <v>46.3</v>
      </c>
      <c r="S139" s="14">
        <v>1</v>
      </c>
      <c r="T139" s="14">
        <v>0</v>
      </c>
      <c r="U139" s="14" t="s">
        <v>42</v>
      </c>
      <c r="V139" s="14" t="s">
        <v>67</v>
      </c>
      <c r="W139" s="14" t="s">
        <v>44</v>
      </c>
      <c r="X139" s="14">
        <v>1</v>
      </c>
      <c r="Y139" s="14" t="s">
        <v>114</v>
      </c>
      <c r="Z139" s="17">
        <v>2.4375</v>
      </c>
      <c r="AA139" s="14">
        <v>3</v>
      </c>
      <c r="AB139" s="14">
        <v>5</v>
      </c>
      <c r="AC139" s="14">
        <v>0</v>
      </c>
      <c r="AD139" s="17">
        <f>IFERROR(Z139/(AA139*AB139)*AC139*AA139,"")</f>
        <v>0</v>
      </c>
      <c r="AE139" s="17">
        <f>Z139+AD139</f>
        <v>2.4375</v>
      </c>
      <c r="AF139" s="17"/>
      <c r="AG139" s="14">
        <f>AB139+AC139</f>
        <v>5</v>
      </c>
      <c r="AH139" s="18" t="s">
        <v>358</v>
      </c>
      <c r="AI139" s="19"/>
      <c r="AJ139" s="19"/>
      <c r="AK139" s="19"/>
      <c r="AL139" s="19"/>
      <c r="AM139" s="19"/>
    </row>
    <row r="140" spans="1:39" ht="15.75" customHeight="1">
      <c r="A140" s="2"/>
      <c r="B140" s="20" t="s">
        <v>359</v>
      </c>
      <c r="C140" s="14" t="s">
        <v>162</v>
      </c>
      <c r="D140" s="14" t="s">
        <v>211</v>
      </c>
      <c r="E140" s="14" t="s">
        <v>269</v>
      </c>
      <c r="F140" s="14">
        <v>30</v>
      </c>
      <c r="G140" s="15">
        <v>12.15</v>
      </c>
      <c r="H140" s="14" t="s">
        <v>58</v>
      </c>
      <c r="I140" s="14" t="s">
        <v>37</v>
      </c>
      <c r="J140" s="14" t="s">
        <v>40</v>
      </c>
      <c r="K140" s="14" t="s">
        <v>38</v>
      </c>
      <c r="L140" s="14" t="s">
        <v>39</v>
      </c>
      <c r="M140" s="14" t="s">
        <v>40</v>
      </c>
      <c r="N140" s="14" t="s">
        <v>40</v>
      </c>
      <c r="O140" s="14" t="s">
        <v>135</v>
      </c>
      <c r="P140" s="14">
        <v>71.7</v>
      </c>
      <c r="Q140" s="14">
        <v>40</v>
      </c>
      <c r="R140" s="14">
        <v>45</v>
      </c>
      <c r="S140" s="14">
        <v>4</v>
      </c>
      <c r="T140" s="14">
        <v>0</v>
      </c>
      <c r="U140" s="14" t="s">
        <v>112</v>
      </c>
      <c r="V140" s="14" t="s">
        <v>113</v>
      </c>
      <c r="W140" s="14" t="s">
        <v>44</v>
      </c>
      <c r="X140" s="14">
        <v>2</v>
      </c>
      <c r="Y140" s="14" t="s">
        <v>114</v>
      </c>
      <c r="Z140" s="17">
        <v>2.8194444444444446</v>
      </c>
      <c r="AA140" s="14">
        <v>3</v>
      </c>
      <c r="AB140" s="14">
        <v>5</v>
      </c>
      <c r="AC140" s="14">
        <v>0</v>
      </c>
      <c r="AD140" s="17">
        <f>IFERROR(Z140/(AA140*AB140)*AC140*AA140,"")</f>
        <v>0</v>
      </c>
      <c r="AE140" s="17">
        <f>Z140+AD140</f>
        <v>2.8194444444444446</v>
      </c>
      <c r="AF140" s="17"/>
      <c r="AG140" s="14">
        <f>AB140+AC140</f>
        <v>5</v>
      </c>
      <c r="AH140" s="18"/>
      <c r="AI140" s="19"/>
      <c r="AJ140" s="19"/>
      <c r="AK140" s="19"/>
      <c r="AL140" s="19"/>
      <c r="AM140" s="19"/>
    </row>
    <row r="141" spans="1:39" ht="15.75" customHeight="1">
      <c r="A141" s="2"/>
      <c r="B141" s="20" t="s">
        <v>360</v>
      </c>
      <c r="C141" s="14" t="s">
        <v>47</v>
      </c>
      <c r="D141" s="14" t="s">
        <v>237</v>
      </c>
      <c r="E141" s="14" t="s">
        <v>35</v>
      </c>
      <c r="F141" s="14">
        <v>8</v>
      </c>
      <c r="G141" s="15">
        <v>3.24</v>
      </c>
      <c r="H141" s="14" t="s">
        <v>58</v>
      </c>
      <c r="I141" s="14" t="s">
        <v>37</v>
      </c>
      <c r="J141" s="14" t="s">
        <v>38</v>
      </c>
      <c r="K141" s="14" t="s">
        <v>40</v>
      </c>
      <c r="L141" s="14" t="s">
        <v>50</v>
      </c>
      <c r="M141" s="14" t="s">
        <v>38</v>
      </c>
      <c r="N141" s="14" t="s">
        <v>38</v>
      </c>
      <c r="O141" s="14" t="s">
        <v>290</v>
      </c>
      <c r="P141" s="14">
        <v>71.7</v>
      </c>
      <c r="Q141" s="14">
        <v>40</v>
      </c>
      <c r="R141" s="14">
        <v>45</v>
      </c>
      <c r="S141" s="14">
        <v>1</v>
      </c>
      <c r="T141" s="14">
        <v>1</v>
      </c>
      <c r="U141" s="14" t="s">
        <v>42</v>
      </c>
      <c r="V141" s="14" t="s">
        <v>259</v>
      </c>
      <c r="W141" s="14" t="s">
        <v>85</v>
      </c>
      <c r="X141" s="14">
        <v>2</v>
      </c>
      <c r="Y141" s="14" t="s">
        <v>114</v>
      </c>
      <c r="Z141" s="17">
        <v>1.5</v>
      </c>
      <c r="AA141" s="14">
        <v>1</v>
      </c>
      <c r="AB141" s="14">
        <v>4</v>
      </c>
      <c r="AC141" s="14">
        <v>0</v>
      </c>
      <c r="AD141" s="17">
        <f>IFERROR(Z141/(AA141*AB141)*AC141*AA141,"")</f>
        <v>0</v>
      </c>
      <c r="AE141" s="17">
        <f>Z141+AD141</f>
        <v>1.5</v>
      </c>
      <c r="AF141" s="17"/>
      <c r="AG141" s="14">
        <f>AB141+AC141</f>
        <v>4</v>
      </c>
      <c r="AH141" s="18"/>
      <c r="AI141" s="19"/>
      <c r="AJ141" s="19"/>
      <c r="AK141" s="19"/>
      <c r="AL141" s="19"/>
      <c r="AM141" s="19"/>
    </row>
    <row r="142" spans="1:39" ht="15.75" customHeight="1">
      <c r="A142" s="2"/>
      <c r="B142" s="20" t="s">
        <v>361</v>
      </c>
      <c r="C142" s="14" t="s">
        <v>149</v>
      </c>
      <c r="D142" s="14" t="s">
        <v>175</v>
      </c>
      <c r="E142" s="14" t="s">
        <v>35</v>
      </c>
      <c r="F142" s="14">
        <v>13</v>
      </c>
      <c r="G142" s="15">
        <v>5.07</v>
      </c>
      <c r="H142" s="14" t="s">
        <v>58</v>
      </c>
      <c r="I142" s="14" t="s">
        <v>37</v>
      </c>
      <c r="J142" s="14" t="s">
        <v>38</v>
      </c>
      <c r="K142" s="14" t="s">
        <v>40</v>
      </c>
      <c r="L142" s="14" t="s">
        <v>39</v>
      </c>
      <c r="M142" s="14" t="s">
        <v>40</v>
      </c>
      <c r="N142" s="14" t="s">
        <v>40</v>
      </c>
      <c r="O142" s="14" t="s">
        <v>41</v>
      </c>
      <c r="P142" s="14">
        <v>69.06</v>
      </c>
      <c r="Q142" s="14">
        <v>43.15</v>
      </c>
      <c r="R142" s="14">
        <v>46.3</v>
      </c>
      <c r="S142" s="14">
        <v>1</v>
      </c>
      <c r="T142" s="14">
        <v>0</v>
      </c>
      <c r="U142" s="14" t="s">
        <v>42</v>
      </c>
      <c r="V142" s="14" t="s">
        <v>43</v>
      </c>
      <c r="W142" s="14" t="s">
        <v>44</v>
      </c>
      <c r="X142" s="14">
        <v>1</v>
      </c>
      <c r="Y142" s="14" t="s">
        <v>114</v>
      </c>
      <c r="Z142" s="17">
        <v>1.3819444444444444</v>
      </c>
      <c r="AA142" s="14">
        <v>1</v>
      </c>
      <c r="AB142" s="14">
        <v>4</v>
      </c>
      <c r="AC142" s="14">
        <v>0</v>
      </c>
      <c r="AD142" s="17">
        <f>IFERROR(Z142/(AA142*AB142)*AC142*AA142,"")</f>
        <v>0</v>
      </c>
      <c r="AE142" s="17">
        <f>Z142+AD142</f>
        <v>1.3819444444444444</v>
      </c>
      <c r="AF142" s="17"/>
      <c r="AG142" s="14">
        <f>AB142+AC142</f>
        <v>4</v>
      </c>
      <c r="AH142" s="18"/>
      <c r="AI142" s="19"/>
      <c r="AJ142" s="19"/>
      <c r="AK142" s="19"/>
      <c r="AL142" s="19"/>
      <c r="AM142" s="19"/>
    </row>
    <row r="143" spans="1:39" ht="15.75" customHeight="1">
      <c r="A143" s="2"/>
      <c r="B143" s="20" t="s">
        <v>362</v>
      </c>
      <c r="C143" s="14" t="s">
        <v>271</v>
      </c>
      <c r="D143" s="14" t="s">
        <v>66</v>
      </c>
      <c r="E143" s="14" t="s">
        <v>155</v>
      </c>
      <c r="F143" s="14">
        <v>30</v>
      </c>
      <c r="G143" s="15">
        <v>12.15</v>
      </c>
      <c r="H143" s="14" t="s">
        <v>58</v>
      </c>
      <c r="I143" s="14" t="s">
        <v>37</v>
      </c>
      <c r="J143" s="14" t="s">
        <v>38</v>
      </c>
      <c r="K143" s="14" t="s">
        <v>38</v>
      </c>
      <c r="L143" s="14" t="s">
        <v>39</v>
      </c>
      <c r="M143" s="14" t="s">
        <v>40</v>
      </c>
      <c r="N143" s="14" t="s">
        <v>40</v>
      </c>
      <c r="O143" s="14" t="s">
        <v>41</v>
      </c>
      <c r="P143" s="14">
        <v>71.7</v>
      </c>
      <c r="Q143" s="14">
        <v>40</v>
      </c>
      <c r="R143" s="14">
        <v>45</v>
      </c>
      <c r="S143" s="14">
        <v>2</v>
      </c>
      <c r="T143" s="14">
        <v>0</v>
      </c>
      <c r="U143" s="14" t="s">
        <v>42</v>
      </c>
      <c r="V143" s="14" t="s">
        <v>259</v>
      </c>
      <c r="W143" s="14" t="s">
        <v>44</v>
      </c>
      <c r="X143" s="14">
        <v>2</v>
      </c>
      <c r="Y143" s="14" t="s">
        <v>114</v>
      </c>
      <c r="Z143" s="17">
        <v>3.5173611111111112</v>
      </c>
      <c r="AA143" s="14">
        <v>2</v>
      </c>
      <c r="AB143" s="14">
        <v>5</v>
      </c>
      <c r="AC143" s="14">
        <v>0</v>
      </c>
      <c r="AD143" s="17">
        <f>IFERROR(Z143/(AA143*AB143)*AC143*AA143,"")</f>
        <v>0</v>
      </c>
      <c r="AE143" s="17">
        <f>Z143+AD143</f>
        <v>3.5173611111111112</v>
      </c>
      <c r="AF143" s="17"/>
      <c r="AG143" s="14">
        <f>AB143+AC143</f>
        <v>5</v>
      </c>
      <c r="AH143" s="18" t="s">
        <v>363</v>
      </c>
      <c r="AI143" s="19"/>
      <c r="AJ143" s="19"/>
      <c r="AK143" s="19"/>
      <c r="AL143" s="19"/>
      <c r="AM143" s="19"/>
    </row>
    <row r="144" spans="1:39" ht="15.75" customHeight="1">
      <c r="A144" s="2"/>
      <c r="B144" s="20" t="s">
        <v>364</v>
      </c>
      <c r="C144" s="14" t="s">
        <v>143</v>
      </c>
      <c r="D144" s="14" t="s">
        <v>88</v>
      </c>
      <c r="E144" s="14" t="s">
        <v>35</v>
      </c>
      <c r="F144" s="14">
        <v>20</v>
      </c>
      <c r="G144" s="15">
        <v>8.1</v>
      </c>
      <c r="H144" s="14" t="s">
        <v>58</v>
      </c>
      <c r="I144" s="14" t="s">
        <v>37</v>
      </c>
      <c r="J144" s="14" t="s">
        <v>38</v>
      </c>
      <c r="K144" s="14" t="s">
        <v>38</v>
      </c>
      <c r="L144" s="14" t="s">
        <v>39</v>
      </c>
      <c r="M144" s="14" t="s">
        <v>40</v>
      </c>
      <c r="N144" s="14" t="s">
        <v>40</v>
      </c>
      <c r="O144" s="14" t="s">
        <v>41</v>
      </c>
      <c r="P144" s="14">
        <v>71.7</v>
      </c>
      <c r="Q144" s="14">
        <v>40</v>
      </c>
      <c r="R144" s="14">
        <v>45</v>
      </c>
      <c r="S144" s="14">
        <v>1</v>
      </c>
      <c r="T144" s="14">
        <v>0</v>
      </c>
      <c r="U144" s="14" t="s">
        <v>42</v>
      </c>
      <c r="V144" s="14" t="s">
        <v>43</v>
      </c>
      <c r="W144" s="14" t="s">
        <v>44</v>
      </c>
      <c r="X144" s="14">
        <v>1</v>
      </c>
      <c r="Y144" s="14" t="s">
        <v>114</v>
      </c>
      <c r="Z144" s="17">
        <v>1.4270833333333333</v>
      </c>
      <c r="AA144" s="14">
        <v>1</v>
      </c>
      <c r="AB144" s="14">
        <v>4</v>
      </c>
      <c r="AC144" s="14">
        <v>0</v>
      </c>
      <c r="AD144" s="17">
        <f>IFERROR(Z144/(AA144*AB144)*AC144*AA144,"")</f>
        <v>0</v>
      </c>
      <c r="AE144" s="17">
        <f>Z144+AD144</f>
        <v>1.4270833333333333</v>
      </c>
      <c r="AF144" s="17"/>
      <c r="AG144" s="14">
        <f>AB144+AC144</f>
        <v>4</v>
      </c>
      <c r="AH144" s="18"/>
      <c r="AI144" s="19"/>
      <c r="AJ144" s="19"/>
      <c r="AK144" s="19"/>
      <c r="AL144" s="19"/>
      <c r="AM144" s="19"/>
    </row>
    <row r="145" spans="1:39" ht="15.75" customHeight="1">
      <c r="A145" s="2"/>
      <c r="B145" s="20" t="s">
        <v>365</v>
      </c>
      <c r="C145" s="14" t="s">
        <v>69</v>
      </c>
      <c r="D145" s="14" t="s">
        <v>366</v>
      </c>
      <c r="E145" s="14" t="s">
        <v>232</v>
      </c>
      <c r="F145" s="14">
        <v>13</v>
      </c>
      <c r="G145" s="15">
        <v>5.2649999999999997</v>
      </c>
      <c r="H145" s="14" t="s">
        <v>58</v>
      </c>
      <c r="I145" s="14" t="s">
        <v>37</v>
      </c>
      <c r="J145" s="14" t="s">
        <v>38</v>
      </c>
      <c r="K145" s="14" t="s">
        <v>40</v>
      </c>
      <c r="L145" s="14" t="s">
        <v>50</v>
      </c>
      <c r="M145" s="14" t="s">
        <v>38</v>
      </c>
      <c r="N145" s="14" t="s">
        <v>38</v>
      </c>
      <c r="O145" s="14" t="s">
        <v>103</v>
      </c>
      <c r="P145" s="14">
        <v>71.7</v>
      </c>
      <c r="Q145" s="14">
        <v>40</v>
      </c>
      <c r="R145" s="14">
        <v>45</v>
      </c>
      <c r="S145" s="14">
        <v>4</v>
      </c>
      <c r="T145" s="14">
        <v>3</v>
      </c>
      <c r="U145" s="14" t="s">
        <v>42</v>
      </c>
      <c r="V145" s="14" t="s">
        <v>43</v>
      </c>
      <c r="W145" s="14" t="s">
        <v>44</v>
      </c>
      <c r="X145" s="14">
        <v>2</v>
      </c>
      <c r="Y145" s="14" t="s">
        <v>147</v>
      </c>
      <c r="Z145" s="17">
        <v>2.96875</v>
      </c>
      <c r="AA145" s="14">
        <v>2</v>
      </c>
      <c r="AB145" s="14">
        <v>4</v>
      </c>
      <c r="AC145" s="14">
        <v>0</v>
      </c>
      <c r="AD145" s="17">
        <f>IFERROR(Z145/(AA145*AB145)*AC145*AA145,"")</f>
        <v>0</v>
      </c>
      <c r="AE145" s="17">
        <f>Z145+AD145</f>
        <v>2.96875</v>
      </c>
      <c r="AF145" s="17"/>
      <c r="AG145" s="14">
        <f>AB145+AC145</f>
        <v>4</v>
      </c>
      <c r="AH145" s="18"/>
      <c r="AI145" s="19"/>
      <c r="AJ145" s="19"/>
      <c r="AK145" s="19"/>
      <c r="AL145" s="19"/>
      <c r="AM145" s="19"/>
    </row>
    <row r="146" spans="1:39" ht="15.75" customHeight="1">
      <c r="A146" s="2"/>
      <c r="B146" s="20" t="s">
        <v>367</v>
      </c>
      <c r="C146" s="14" t="s">
        <v>47</v>
      </c>
      <c r="D146" s="14" t="s">
        <v>368</v>
      </c>
      <c r="E146" s="14" t="s">
        <v>369</v>
      </c>
      <c r="F146" s="14">
        <v>32</v>
      </c>
      <c r="G146" s="15">
        <v>12.48</v>
      </c>
      <c r="H146" s="14" t="s">
        <v>58</v>
      </c>
      <c r="I146" s="14" t="s">
        <v>37</v>
      </c>
      <c r="J146" s="14" t="s">
        <v>38</v>
      </c>
      <c r="K146" s="14" t="s">
        <v>38</v>
      </c>
      <c r="L146" s="14" t="s">
        <v>258</v>
      </c>
      <c r="M146" s="14" t="s">
        <v>40</v>
      </c>
      <c r="N146" s="14" t="s">
        <v>38</v>
      </c>
      <c r="O146" s="14" t="s">
        <v>135</v>
      </c>
      <c r="P146" s="14">
        <v>69.06</v>
      </c>
      <c r="Q146" s="14">
        <v>43.15</v>
      </c>
      <c r="R146" s="14">
        <v>46.3</v>
      </c>
      <c r="S146" s="14">
        <v>1</v>
      </c>
      <c r="T146" s="14">
        <v>0</v>
      </c>
      <c r="U146" s="14" t="s">
        <v>112</v>
      </c>
      <c r="V146" s="14" t="s">
        <v>113</v>
      </c>
      <c r="W146" s="14" t="s">
        <v>44</v>
      </c>
      <c r="X146" s="14">
        <v>3</v>
      </c>
      <c r="Y146" s="14" t="s">
        <v>114</v>
      </c>
      <c r="Z146" s="17">
        <v>2.8125</v>
      </c>
      <c r="AA146" s="14">
        <v>2</v>
      </c>
      <c r="AB146" s="14">
        <v>4</v>
      </c>
      <c r="AC146" s="14">
        <v>1</v>
      </c>
      <c r="AD146" s="17">
        <f>IFERROR(Z146/(AA146*AB146)*AC146*AA146,"")</f>
        <v>0.703125</v>
      </c>
      <c r="AE146" s="17">
        <f>Z146+AD146</f>
        <v>3.515625</v>
      </c>
      <c r="AF146" s="17"/>
      <c r="AG146" s="14">
        <f>AB146+AC146</f>
        <v>5</v>
      </c>
      <c r="AH146" s="18" t="s">
        <v>370</v>
      </c>
      <c r="AI146" s="19"/>
      <c r="AJ146" s="19"/>
      <c r="AK146" s="19"/>
      <c r="AL146" s="19"/>
      <c r="AM146" s="19"/>
    </row>
    <row r="147" spans="1:39" ht="15.75" customHeight="1">
      <c r="A147" s="2"/>
      <c r="B147" s="20" t="s">
        <v>371</v>
      </c>
      <c r="C147" s="14" t="s">
        <v>143</v>
      </c>
      <c r="D147" s="14" t="s">
        <v>169</v>
      </c>
      <c r="E147" s="14" t="s">
        <v>78</v>
      </c>
      <c r="F147" s="14">
        <v>48</v>
      </c>
      <c r="G147" s="15">
        <v>23.28</v>
      </c>
      <c r="H147" s="14" t="s">
        <v>36</v>
      </c>
      <c r="I147" s="14" t="s">
        <v>195</v>
      </c>
      <c r="J147" s="14" t="s">
        <v>40</v>
      </c>
      <c r="K147" s="14" t="s">
        <v>40</v>
      </c>
      <c r="L147" s="14" t="s">
        <v>196</v>
      </c>
      <c r="M147" s="14" t="s">
        <v>40</v>
      </c>
      <c r="N147" s="14" t="s">
        <v>40</v>
      </c>
      <c r="O147" s="14" t="s">
        <v>100</v>
      </c>
      <c r="P147" s="14">
        <v>87.2</v>
      </c>
      <c r="Q147" s="14">
        <v>41.1</v>
      </c>
      <c r="R147" s="14">
        <v>64.2</v>
      </c>
      <c r="S147" s="14">
        <v>2</v>
      </c>
      <c r="T147" s="14">
        <v>0</v>
      </c>
      <c r="U147" s="14" t="s">
        <v>195</v>
      </c>
      <c r="V147" s="14" t="s">
        <v>195</v>
      </c>
      <c r="W147" s="14" t="s">
        <v>44</v>
      </c>
      <c r="X147" s="14">
        <v>0</v>
      </c>
      <c r="Y147" s="14" t="s">
        <v>147</v>
      </c>
      <c r="Z147" s="17">
        <v>4.875</v>
      </c>
      <c r="AA147" s="14">
        <v>4</v>
      </c>
      <c r="AB147" s="14">
        <v>4</v>
      </c>
      <c r="AC147" s="14">
        <v>1</v>
      </c>
      <c r="AD147" s="17">
        <f>IFERROR(Z147/(AA147*AB147)*AC147*AA147,"")</f>
        <v>1.21875</v>
      </c>
      <c r="AE147" s="17">
        <f>Z147+AD147</f>
        <v>6.09375</v>
      </c>
      <c r="AF147" s="17"/>
      <c r="AG147" s="14">
        <f>AB147+AC147</f>
        <v>5</v>
      </c>
      <c r="AH147" s="18" t="s">
        <v>372</v>
      </c>
      <c r="AI147" s="19"/>
      <c r="AJ147" s="19"/>
      <c r="AK147" s="19"/>
      <c r="AL147" s="19"/>
      <c r="AM147" s="19"/>
    </row>
    <row r="148" spans="1:39" ht="15.75" customHeight="1">
      <c r="A148" s="2"/>
      <c r="B148" s="20" t="s">
        <v>373</v>
      </c>
      <c r="C148" s="14" t="s">
        <v>149</v>
      </c>
      <c r="D148" s="14" t="s">
        <v>78</v>
      </c>
      <c r="E148" s="14" t="s">
        <v>79</v>
      </c>
      <c r="F148" s="14">
        <v>25</v>
      </c>
      <c r="G148" s="15">
        <v>10.125</v>
      </c>
      <c r="H148" s="14" t="s">
        <v>58</v>
      </c>
      <c r="I148" s="14" t="s">
        <v>37</v>
      </c>
      <c r="J148" s="14" t="s">
        <v>38</v>
      </c>
      <c r="K148" s="14" t="s">
        <v>38</v>
      </c>
      <c r="L148" s="14" t="s">
        <v>39</v>
      </c>
      <c r="M148" s="14" t="s">
        <v>40</v>
      </c>
      <c r="N148" s="14" t="s">
        <v>40</v>
      </c>
      <c r="O148" s="14" t="s">
        <v>80</v>
      </c>
      <c r="P148" s="14">
        <v>71.7</v>
      </c>
      <c r="Q148" s="14">
        <v>40</v>
      </c>
      <c r="R148" s="14">
        <v>45</v>
      </c>
      <c r="S148" s="14">
        <v>1</v>
      </c>
      <c r="T148" s="14">
        <v>0</v>
      </c>
      <c r="U148" s="14" t="s">
        <v>42</v>
      </c>
      <c r="V148" s="14" t="s">
        <v>43</v>
      </c>
      <c r="W148" s="14" t="s">
        <v>44</v>
      </c>
      <c r="X148" s="14">
        <v>1</v>
      </c>
      <c r="Y148" s="14" t="s">
        <v>114</v>
      </c>
      <c r="Z148" s="17">
        <v>2.7847222222222223</v>
      </c>
      <c r="AA148" s="14">
        <v>2</v>
      </c>
      <c r="AB148" s="14">
        <v>5</v>
      </c>
      <c r="AC148" s="14">
        <v>0</v>
      </c>
      <c r="AD148" s="17">
        <f>IFERROR(Z148/(AA148*AB148)*AC148*AA148,"")</f>
        <v>0</v>
      </c>
      <c r="AE148" s="17">
        <f>Z148+AD148</f>
        <v>2.7847222222222223</v>
      </c>
      <c r="AF148" s="17"/>
      <c r="AG148" s="14">
        <f>AB148+AC148</f>
        <v>5</v>
      </c>
      <c r="AH148" s="18"/>
      <c r="AI148" s="19"/>
      <c r="AJ148" s="19"/>
      <c r="AK148" s="19"/>
      <c r="AL148" s="19"/>
      <c r="AM148" s="19"/>
    </row>
    <row r="149" spans="1:39" ht="15.75" customHeight="1">
      <c r="A149" s="2"/>
      <c r="B149" s="20" t="s">
        <v>374</v>
      </c>
      <c r="C149" s="14" t="s">
        <v>33</v>
      </c>
      <c r="D149" s="14" t="s">
        <v>70</v>
      </c>
      <c r="E149" s="14" t="s">
        <v>35</v>
      </c>
      <c r="F149" s="14">
        <v>26</v>
      </c>
      <c r="G149" s="15">
        <v>10.53</v>
      </c>
      <c r="H149" s="14" t="s">
        <v>58</v>
      </c>
      <c r="I149" s="14" t="s">
        <v>37</v>
      </c>
      <c r="J149" s="14" t="s">
        <v>38</v>
      </c>
      <c r="K149" s="14" t="s">
        <v>40</v>
      </c>
      <c r="L149" s="14" t="s">
        <v>39</v>
      </c>
      <c r="M149" s="14" t="s">
        <v>40</v>
      </c>
      <c r="N149" s="14" t="s">
        <v>40</v>
      </c>
      <c r="O149" s="14" t="s">
        <v>41</v>
      </c>
      <c r="P149" s="14">
        <v>71.7</v>
      </c>
      <c r="Q149" s="14">
        <v>40</v>
      </c>
      <c r="R149" s="14">
        <v>45</v>
      </c>
      <c r="S149" s="14">
        <v>1</v>
      </c>
      <c r="T149" s="14">
        <v>0</v>
      </c>
      <c r="U149" s="14" t="s">
        <v>42</v>
      </c>
      <c r="V149" s="14" t="s">
        <v>43</v>
      </c>
      <c r="W149" s="14" t="s">
        <v>44</v>
      </c>
      <c r="X149" s="14">
        <v>2</v>
      </c>
      <c r="Y149" s="14" t="s">
        <v>147</v>
      </c>
      <c r="Z149" s="17">
        <v>1.53125</v>
      </c>
      <c r="AA149" s="14">
        <v>1</v>
      </c>
      <c r="AB149" s="14">
        <v>4</v>
      </c>
      <c r="AC149" s="14">
        <v>0</v>
      </c>
      <c r="AD149" s="17">
        <f>IFERROR(Z149/(AA149*AB149)*AC149*AA149,"")</f>
        <v>0</v>
      </c>
      <c r="AE149" s="17">
        <f>Z149+AD149</f>
        <v>1.53125</v>
      </c>
      <c r="AF149" s="17"/>
      <c r="AG149" s="14">
        <f>AB149+AC149</f>
        <v>4</v>
      </c>
      <c r="AH149" s="18"/>
      <c r="AI149" s="19"/>
      <c r="AJ149" s="19"/>
      <c r="AK149" s="19"/>
      <c r="AL149" s="19"/>
      <c r="AM149" s="19"/>
    </row>
    <row r="150" spans="1:39" ht="15.75" customHeight="1">
      <c r="A150" s="2"/>
      <c r="B150" s="20" t="s">
        <v>375</v>
      </c>
      <c r="C150" s="14" t="s">
        <v>33</v>
      </c>
      <c r="D150" s="14" t="s">
        <v>70</v>
      </c>
      <c r="E150" s="14" t="s">
        <v>35</v>
      </c>
      <c r="F150" s="14">
        <v>35</v>
      </c>
      <c r="G150" s="15">
        <v>14.175000000000001</v>
      </c>
      <c r="H150" s="14" t="s">
        <v>58</v>
      </c>
      <c r="I150" s="14" t="s">
        <v>37</v>
      </c>
      <c r="J150" s="14" t="s">
        <v>38</v>
      </c>
      <c r="K150" s="14" t="s">
        <v>38</v>
      </c>
      <c r="L150" s="14" t="s">
        <v>39</v>
      </c>
      <c r="M150" s="14" t="s">
        <v>40</v>
      </c>
      <c r="N150" s="14" t="s">
        <v>40</v>
      </c>
      <c r="O150" s="14" t="s">
        <v>103</v>
      </c>
      <c r="P150" s="14">
        <v>71.7</v>
      </c>
      <c r="Q150" s="14">
        <v>40</v>
      </c>
      <c r="R150" s="14">
        <v>45</v>
      </c>
      <c r="S150" s="14">
        <v>4</v>
      </c>
      <c r="T150" s="14">
        <v>0</v>
      </c>
      <c r="U150" s="14" t="s">
        <v>42</v>
      </c>
      <c r="V150" s="14" t="s">
        <v>43</v>
      </c>
      <c r="W150" s="14" t="s">
        <v>44</v>
      </c>
      <c r="X150" s="14">
        <v>2</v>
      </c>
      <c r="Y150" s="14" t="s">
        <v>147</v>
      </c>
      <c r="Z150" s="17">
        <v>3.2604166666666665</v>
      </c>
      <c r="AA150" s="14">
        <v>3</v>
      </c>
      <c r="AB150" s="14">
        <v>4</v>
      </c>
      <c r="AC150" s="14">
        <v>0</v>
      </c>
      <c r="AD150" s="17">
        <f>IFERROR(Z150/(AA150*AB150)*AC150*AA150,"")</f>
        <v>0</v>
      </c>
      <c r="AE150" s="17">
        <f>Z150+AD150</f>
        <v>3.2604166666666665</v>
      </c>
      <c r="AF150" s="17"/>
      <c r="AG150" s="14">
        <f>AB150+AC150</f>
        <v>4</v>
      </c>
      <c r="AH150" s="18"/>
      <c r="AI150" s="19"/>
      <c r="AJ150" s="19"/>
      <c r="AK150" s="19"/>
      <c r="AL150" s="19"/>
      <c r="AM150" s="19"/>
    </row>
    <row r="151" spans="1:39" ht="15.75" customHeight="1">
      <c r="A151" s="2"/>
      <c r="B151" s="20" t="s">
        <v>376</v>
      </c>
      <c r="C151" s="14" t="s">
        <v>109</v>
      </c>
      <c r="D151" s="14" t="s">
        <v>66</v>
      </c>
      <c r="E151" s="14" t="s">
        <v>35</v>
      </c>
      <c r="F151" s="14">
        <v>26</v>
      </c>
      <c r="G151" s="15">
        <v>10.53</v>
      </c>
      <c r="H151" s="14" t="s">
        <v>58</v>
      </c>
      <c r="I151" s="14" t="s">
        <v>37</v>
      </c>
      <c r="J151" s="14" t="s">
        <v>38</v>
      </c>
      <c r="K151" s="14" t="s">
        <v>38</v>
      </c>
      <c r="L151" s="14" t="s">
        <v>39</v>
      </c>
      <c r="M151" s="14" t="s">
        <v>40</v>
      </c>
      <c r="N151" s="14" t="s">
        <v>40</v>
      </c>
      <c r="O151" s="14" t="s">
        <v>53</v>
      </c>
      <c r="P151" s="14">
        <v>71.7</v>
      </c>
      <c r="Q151" s="14">
        <v>40</v>
      </c>
      <c r="R151" s="14">
        <v>45</v>
      </c>
      <c r="S151" s="14">
        <v>3</v>
      </c>
      <c r="T151" s="14">
        <v>0</v>
      </c>
      <c r="U151" s="14" t="s">
        <v>42</v>
      </c>
      <c r="V151" s="14" t="s">
        <v>43</v>
      </c>
      <c r="W151" s="14" t="s">
        <v>44</v>
      </c>
      <c r="X151" s="14">
        <v>2</v>
      </c>
      <c r="Y151" s="14" t="s">
        <v>147</v>
      </c>
      <c r="Z151" s="17">
        <v>2.7395833333333335</v>
      </c>
      <c r="AA151" s="14">
        <v>2</v>
      </c>
      <c r="AB151" s="14">
        <v>4</v>
      </c>
      <c r="AC151" s="14">
        <v>0</v>
      </c>
      <c r="AD151" s="17">
        <f>IFERROR(Z151/(AA151*AB151)*AC151*AA151,"")</f>
        <v>0</v>
      </c>
      <c r="AE151" s="17">
        <f>Z151+AD151</f>
        <v>2.7395833333333335</v>
      </c>
      <c r="AF151" s="17"/>
      <c r="AG151" s="14">
        <f>AB151+AC151</f>
        <v>4</v>
      </c>
      <c r="AH151" s="18"/>
      <c r="AI151" s="19"/>
      <c r="AJ151" s="19"/>
      <c r="AK151" s="19"/>
      <c r="AL151" s="19"/>
      <c r="AM151" s="19"/>
    </row>
    <row r="152" spans="1:39" ht="15.75" customHeight="1">
      <c r="A152" s="2"/>
      <c r="B152" s="20" t="s">
        <v>377</v>
      </c>
      <c r="C152" s="14" t="s">
        <v>47</v>
      </c>
      <c r="D152" s="14" t="s">
        <v>52</v>
      </c>
      <c r="E152" s="14" t="s">
        <v>95</v>
      </c>
      <c r="F152" s="14">
        <v>6</v>
      </c>
      <c r="G152" s="15">
        <v>2.34</v>
      </c>
      <c r="H152" s="14" t="s">
        <v>58</v>
      </c>
      <c r="I152" s="14" t="s">
        <v>37</v>
      </c>
      <c r="J152" s="14" t="s">
        <v>38</v>
      </c>
      <c r="K152" s="14" t="s">
        <v>40</v>
      </c>
      <c r="L152" s="14" t="s">
        <v>39</v>
      </c>
      <c r="M152" s="14" t="s">
        <v>40</v>
      </c>
      <c r="N152" s="14" t="s">
        <v>40</v>
      </c>
      <c r="O152" s="14" t="s">
        <v>135</v>
      </c>
      <c r="P152" s="14">
        <v>69.06</v>
      </c>
      <c r="Q152" s="14">
        <v>43.15</v>
      </c>
      <c r="R152" s="14">
        <v>46.3</v>
      </c>
      <c r="S152" s="14">
        <v>1</v>
      </c>
      <c r="T152" s="14">
        <v>0</v>
      </c>
      <c r="U152" s="14" t="s">
        <v>42</v>
      </c>
      <c r="V152" s="14" t="s">
        <v>378</v>
      </c>
      <c r="W152" s="14" t="s">
        <v>44</v>
      </c>
      <c r="X152" s="14">
        <v>1</v>
      </c>
      <c r="Y152" s="14" t="s">
        <v>147</v>
      </c>
      <c r="Z152" s="17">
        <v>3.0625</v>
      </c>
      <c r="AA152" s="14">
        <v>3</v>
      </c>
      <c r="AB152" s="14">
        <v>4</v>
      </c>
      <c r="AC152" s="14">
        <v>0</v>
      </c>
      <c r="AD152" s="17">
        <f>IFERROR(Z152/(AA152*AB152)*AC152*AA152,"")</f>
        <v>0</v>
      </c>
      <c r="AE152" s="17">
        <f>Z152+AD152</f>
        <v>3.0625</v>
      </c>
      <c r="AF152" s="17"/>
      <c r="AG152" s="14">
        <f>AB152+AC152</f>
        <v>4</v>
      </c>
      <c r="AH152" s="18" t="s">
        <v>379</v>
      </c>
      <c r="AI152" s="19"/>
      <c r="AJ152" s="19"/>
      <c r="AK152" s="19"/>
      <c r="AL152" s="19"/>
      <c r="AM152" s="19"/>
    </row>
    <row r="153" spans="1:39" ht="15.75" customHeight="1">
      <c r="A153" s="2"/>
      <c r="B153" s="20" t="s">
        <v>380</v>
      </c>
      <c r="C153" s="14" t="s">
        <v>205</v>
      </c>
      <c r="D153" s="14" t="s">
        <v>52</v>
      </c>
      <c r="E153" s="14" t="s">
        <v>35</v>
      </c>
      <c r="F153" s="14">
        <v>16</v>
      </c>
      <c r="G153" s="15">
        <v>6.48</v>
      </c>
      <c r="H153" s="14" t="s">
        <v>58</v>
      </c>
      <c r="I153" s="14" t="s">
        <v>37</v>
      </c>
      <c r="J153" s="14" t="s">
        <v>38</v>
      </c>
      <c r="K153" s="14" t="s">
        <v>40</v>
      </c>
      <c r="L153" s="14" t="s">
        <v>39</v>
      </c>
      <c r="M153" s="14" t="s">
        <v>40</v>
      </c>
      <c r="N153" s="14" t="s">
        <v>38</v>
      </c>
      <c r="O153" s="14" t="s">
        <v>146</v>
      </c>
      <c r="P153" s="14">
        <v>71.7</v>
      </c>
      <c r="Q153" s="14">
        <v>40</v>
      </c>
      <c r="R153" s="14">
        <v>45</v>
      </c>
      <c r="S153" s="14">
        <v>1</v>
      </c>
      <c r="T153" s="14">
        <v>0</v>
      </c>
      <c r="U153" s="14" t="s">
        <v>42</v>
      </c>
      <c r="V153" s="14" t="s">
        <v>43</v>
      </c>
      <c r="W153" s="14" t="s">
        <v>44</v>
      </c>
      <c r="X153" s="14">
        <v>2</v>
      </c>
      <c r="Y153" s="14" t="s">
        <v>147</v>
      </c>
      <c r="Z153" s="17">
        <v>1.4791666666666667</v>
      </c>
      <c r="AA153" s="14">
        <v>1</v>
      </c>
      <c r="AB153" s="14">
        <v>4</v>
      </c>
      <c r="AC153" s="14">
        <v>0</v>
      </c>
      <c r="AD153" s="17">
        <f>IFERROR(Z153/(AA153*AB153)*AC153*AA153,"")</f>
        <v>0</v>
      </c>
      <c r="AE153" s="17">
        <f>Z153+AD153</f>
        <v>1.4791666666666667</v>
      </c>
      <c r="AF153" s="17"/>
      <c r="AG153" s="14">
        <f>AB153+AC153</f>
        <v>4</v>
      </c>
      <c r="AH153" s="18"/>
      <c r="AI153" s="19"/>
      <c r="AJ153" s="19"/>
      <c r="AK153" s="19"/>
      <c r="AL153" s="19"/>
      <c r="AM153" s="19"/>
    </row>
    <row r="154" spans="1:39" ht="15.75" customHeight="1">
      <c r="A154" s="2"/>
      <c r="B154" s="20" t="s">
        <v>381</v>
      </c>
      <c r="C154" s="14" t="s">
        <v>325</v>
      </c>
      <c r="D154" s="14" t="s">
        <v>169</v>
      </c>
      <c r="E154" s="14" t="s">
        <v>382</v>
      </c>
      <c r="F154" s="14">
        <v>39</v>
      </c>
      <c r="G154" s="15">
        <v>15.795</v>
      </c>
      <c r="H154" s="14" t="s">
        <v>58</v>
      </c>
      <c r="I154" s="14" t="s">
        <v>37</v>
      </c>
      <c r="J154" s="14" t="s">
        <v>38</v>
      </c>
      <c r="K154" s="14" t="s">
        <v>38</v>
      </c>
      <c r="L154" s="14" t="s">
        <v>39</v>
      </c>
      <c r="M154" s="14" t="s">
        <v>40</v>
      </c>
      <c r="N154" s="14" t="s">
        <v>40</v>
      </c>
      <c r="O154" s="14" t="s">
        <v>135</v>
      </c>
      <c r="P154" s="14">
        <v>71.7</v>
      </c>
      <c r="Q154" s="14">
        <v>40</v>
      </c>
      <c r="R154" s="14">
        <v>45</v>
      </c>
      <c r="S154" s="14">
        <v>2</v>
      </c>
      <c r="T154" s="14">
        <v>0</v>
      </c>
      <c r="U154" s="14" t="s">
        <v>42</v>
      </c>
      <c r="V154" s="14" t="s">
        <v>43</v>
      </c>
      <c r="W154" s="14" t="s">
        <v>44</v>
      </c>
      <c r="X154" s="14">
        <v>2</v>
      </c>
      <c r="Y154" s="14" t="s">
        <v>147</v>
      </c>
      <c r="Z154" s="17">
        <v>2.9166666666666665</v>
      </c>
      <c r="AA154" s="14">
        <v>3</v>
      </c>
      <c r="AB154" s="14">
        <v>4</v>
      </c>
      <c r="AC154" s="14">
        <v>0</v>
      </c>
      <c r="AD154" s="17">
        <f>IFERROR(Z154/(AA154*AB154)*AC154*AA154,"")</f>
        <v>0</v>
      </c>
      <c r="AE154" s="17">
        <f>Z154+AD154</f>
        <v>2.9166666666666665</v>
      </c>
      <c r="AF154" s="17"/>
      <c r="AG154" s="14">
        <f>AB154+AC154</f>
        <v>4</v>
      </c>
      <c r="AH154" s="18"/>
      <c r="AI154" s="19"/>
      <c r="AJ154" s="19"/>
      <c r="AK154" s="19"/>
      <c r="AL154" s="19"/>
      <c r="AM154" s="19"/>
    </row>
    <row r="155" spans="1:39" ht="15.75" customHeight="1">
      <c r="A155" s="2"/>
      <c r="B155" s="20" t="s">
        <v>383</v>
      </c>
      <c r="C155" s="14" t="s">
        <v>149</v>
      </c>
      <c r="D155" s="14" t="s">
        <v>73</v>
      </c>
      <c r="E155" s="14" t="s">
        <v>84</v>
      </c>
      <c r="F155" s="14">
        <v>18</v>
      </c>
      <c r="G155" s="15">
        <v>7.02</v>
      </c>
      <c r="H155" s="14" t="s">
        <v>58</v>
      </c>
      <c r="I155" s="14" t="s">
        <v>37</v>
      </c>
      <c r="J155" s="14" t="s">
        <v>38</v>
      </c>
      <c r="K155" s="14" t="s">
        <v>40</v>
      </c>
      <c r="L155" s="14" t="s">
        <v>258</v>
      </c>
      <c r="M155" s="14" t="s">
        <v>40</v>
      </c>
      <c r="N155" s="14" t="s">
        <v>38</v>
      </c>
      <c r="O155" s="14" t="s">
        <v>41</v>
      </c>
      <c r="P155" s="14">
        <v>69.06</v>
      </c>
      <c r="Q155" s="14">
        <v>43.15</v>
      </c>
      <c r="R155" s="14">
        <v>46.3</v>
      </c>
      <c r="S155" s="14">
        <v>1</v>
      </c>
      <c r="T155" s="14">
        <v>0</v>
      </c>
      <c r="U155" s="14" t="s">
        <v>42</v>
      </c>
      <c r="V155" s="14" t="s">
        <v>259</v>
      </c>
      <c r="W155" s="14" t="s">
        <v>85</v>
      </c>
      <c r="X155" s="14">
        <v>1</v>
      </c>
      <c r="Y155" s="14" t="s">
        <v>147</v>
      </c>
      <c r="Z155" s="17">
        <v>2.6041666666666665</v>
      </c>
      <c r="AA155" s="14">
        <v>3</v>
      </c>
      <c r="AB155" s="14">
        <v>4</v>
      </c>
      <c r="AC155" s="14">
        <v>1</v>
      </c>
      <c r="AD155" s="17">
        <f>IFERROR(Z155/(AA155*AB155)*AC155*AA155,"")</f>
        <v>0.65104166666666663</v>
      </c>
      <c r="AE155" s="17">
        <f>Z155+AD155</f>
        <v>3.255208333333333</v>
      </c>
      <c r="AF155" s="17"/>
      <c r="AG155" s="14">
        <f>AB155+AC155</f>
        <v>5</v>
      </c>
      <c r="AH155" s="18" t="s">
        <v>363</v>
      </c>
      <c r="AI155" s="19"/>
      <c r="AJ155" s="19"/>
      <c r="AK155" s="19"/>
      <c r="AL155" s="19"/>
      <c r="AM155" s="19"/>
    </row>
    <row r="156" spans="1:39" ht="15.75" customHeight="1">
      <c r="A156" s="2"/>
      <c r="B156" s="20" t="s">
        <v>384</v>
      </c>
      <c r="C156" s="14" t="s">
        <v>198</v>
      </c>
      <c r="D156" s="14" t="s">
        <v>169</v>
      </c>
      <c r="E156" s="14" t="s">
        <v>206</v>
      </c>
      <c r="F156" s="14">
        <v>20</v>
      </c>
      <c r="G156" s="15">
        <v>8.1999999999999993</v>
      </c>
      <c r="H156" s="14" t="s">
        <v>58</v>
      </c>
      <c r="I156" s="14" t="s">
        <v>37</v>
      </c>
      <c r="J156" s="14" t="s">
        <v>38</v>
      </c>
      <c r="K156" s="14" t="s">
        <v>40</v>
      </c>
      <c r="L156" s="14" t="s">
        <v>39</v>
      </c>
      <c r="M156" s="14" t="s">
        <v>40</v>
      </c>
      <c r="N156" s="14" t="s">
        <v>40</v>
      </c>
      <c r="O156" s="14" t="s">
        <v>290</v>
      </c>
      <c r="P156" s="14">
        <v>73.400000000000006</v>
      </c>
      <c r="Q156" s="14">
        <v>40.5</v>
      </c>
      <c r="R156" s="14">
        <v>45.8</v>
      </c>
      <c r="S156" s="14">
        <v>1</v>
      </c>
      <c r="T156" s="14">
        <v>0</v>
      </c>
      <c r="U156" s="14" t="s">
        <v>42</v>
      </c>
      <c r="V156" s="14" t="s">
        <v>43</v>
      </c>
      <c r="W156" s="14" t="s">
        <v>62</v>
      </c>
      <c r="X156" s="14">
        <v>2</v>
      </c>
      <c r="Y156" s="14" t="s">
        <v>147</v>
      </c>
      <c r="Z156" s="17">
        <v>1.5729166666666667</v>
      </c>
      <c r="AA156" s="14">
        <v>1</v>
      </c>
      <c r="AB156" s="14">
        <v>4</v>
      </c>
      <c r="AC156" s="14">
        <v>0</v>
      </c>
      <c r="AD156" s="17">
        <f>IFERROR(Z156/(AA156*AB156)*AC156*AA156,"")</f>
        <v>0</v>
      </c>
      <c r="AE156" s="17">
        <f>Z156+AD156</f>
        <v>1.5729166666666667</v>
      </c>
      <c r="AF156" s="17"/>
      <c r="AG156" s="14">
        <f>AB156+AC156</f>
        <v>4</v>
      </c>
      <c r="AH156" s="18"/>
      <c r="AI156" s="19"/>
      <c r="AJ156" s="19"/>
      <c r="AK156" s="19"/>
      <c r="AL156" s="19"/>
      <c r="AM156" s="19"/>
    </row>
    <row r="157" spans="1:39" ht="15.75" customHeight="1">
      <c r="A157" s="2"/>
      <c r="B157" s="20" t="s">
        <v>385</v>
      </c>
      <c r="C157" s="14" t="s">
        <v>77</v>
      </c>
      <c r="D157" s="14" t="s">
        <v>386</v>
      </c>
      <c r="E157" s="14" t="s">
        <v>261</v>
      </c>
      <c r="F157" s="14">
        <v>28</v>
      </c>
      <c r="G157" s="15">
        <v>11.34</v>
      </c>
      <c r="H157" s="14" t="s">
        <v>58</v>
      </c>
      <c r="I157" s="14" t="s">
        <v>37</v>
      </c>
      <c r="J157" s="14" t="s">
        <v>38</v>
      </c>
      <c r="K157" s="14" t="s">
        <v>38</v>
      </c>
      <c r="L157" s="14" t="s">
        <v>39</v>
      </c>
      <c r="M157" s="14" t="s">
        <v>40</v>
      </c>
      <c r="N157" s="14" t="s">
        <v>40</v>
      </c>
      <c r="O157" s="14" t="s">
        <v>41</v>
      </c>
      <c r="P157" s="14">
        <v>71.7</v>
      </c>
      <c r="Q157" s="14">
        <v>40</v>
      </c>
      <c r="R157" s="14">
        <v>45</v>
      </c>
      <c r="S157" s="14">
        <v>3</v>
      </c>
      <c r="T157" s="14">
        <v>0</v>
      </c>
      <c r="U157" s="14" t="s">
        <v>42</v>
      </c>
      <c r="V157" s="14" t="s">
        <v>67</v>
      </c>
      <c r="W157" s="14" t="s">
        <v>44</v>
      </c>
      <c r="X157" s="14">
        <v>2</v>
      </c>
      <c r="Y157" s="14" t="s">
        <v>147</v>
      </c>
      <c r="Z157" s="17">
        <v>2.4270833333333335</v>
      </c>
      <c r="AA157" s="14">
        <v>2</v>
      </c>
      <c r="AB157" s="14">
        <v>4</v>
      </c>
      <c r="AC157" s="14">
        <v>0</v>
      </c>
      <c r="AD157" s="17">
        <f>IFERROR(Z157/(AA157*AB157)*AC157*AA157,"")</f>
        <v>0</v>
      </c>
      <c r="AE157" s="17">
        <f>Z157+AD157</f>
        <v>2.4270833333333335</v>
      </c>
      <c r="AF157" s="17"/>
      <c r="AG157" s="14">
        <f>AB157+AC157</f>
        <v>4</v>
      </c>
      <c r="AH157" s="18"/>
      <c r="AI157" s="19"/>
      <c r="AJ157" s="19"/>
      <c r="AK157" s="19"/>
      <c r="AL157" s="19"/>
      <c r="AM157" s="19"/>
    </row>
    <row r="158" spans="1:39" ht="15.75" customHeight="1">
      <c r="A158" s="2"/>
      <c r="B158" s="20" t="s">
        <v>387</v>
      </c>
      <c r="C158" s="14" t="s">
        <v>247</v>
      </c>
      <c r="D158" s="14" t="s">
        <v>34</v>
      </c>
      <c r="E158" s="14" t="s">
        <v>155</v>
      </c>
      <c r="F158" s="14">
        <v>26</v>
      </c>
      <c r="G158" s="15">
        <v>10.53</v>
      </c>
      <c r="H158" s="14" t="s">
        <v>58</v>
      </c>
      <c r="I158" s="14" t="s">
        <v>37</v>
      </c>
      <c r="J158" s="14" t="s">
        <v>38</v>
      </c>
      <c r="K158" s="14" t="s">
        <v>38</v>
      </c>
      <c r="L158" s="14" t="s">
        <v>39</v>
      </c>
      <c r="M158" s="14" t="s">
        <v>40</v>
      </c>
      <c r="N158" s="14" t="s">
        <v>40</v>
      </c>
      <c r="O158" s="14" t="s">
        <v>41</v>
      </c>
      <c r="P158" s="14">
        <v>71.7</v>
      </c>
      <c r="Q158" s="14">
        <v>40</v>
      </c>
      <c r="R158" s="14">
        <v>45</v>
      </c>
      <c r="S158" s="14">
        <v>1</v>
      </c>
      <c r="T158" s="14">
        <v>0</v>
      </c>
      <c r="U158" s="14" t="s">
        <v>42</v>
      </c>
      <c r="V158" s="14" t="s">
        <v>43</v>
      </c>
      <c r="W158" s="14" t="s">
        <v>44</v>
      </c>
      <c r="X158" s="14">
        <v>1</v>
      </c>
      <c r="Y158" s="14" t="s">
        <v>147</v>
      </c>
      <c r="Z158" s="17">
        <v>1.15625</v>
      </c>
      <c r="AA158" s="14">
        <v>1</v>
      </c>
      <c r="AB158" s="14">
        <v>4</v>
      </c>
      <c r="AC158" s="14">
        <v>0</v>
      </c>
      <c r="AD158" s="17">
        <f>IFERROR(Z158/(AA158*AB158)*AC158*AA158,"")</f>
        <v>0</v>
      </c>
      <c r="AE158" s="17">
        <f>Z158+AD158</f>
        <v>1.15625</v>
      </c>
      <c r="AF158" s="17"/>
      <c r="AG158" s="14">
        <f>AB158+AC158</f>
        <v>4</v>
      </c>
      <c r="AH158" s="18"/>
      <c r="AI158" s="19"/>
      <c r="AJ158" s="19"/>
      <c r="AK158" s="19"/>
      <c r="AL158" s="19"/>
      <c r="AM158" s="19"/>
    </row>
    <row r="159" spans="1:39" ht="15.75" customHeight="1">
      <c r="A159" s="2"/>
      <c r="B159" s="20" t="s">
        <v>388</v>
      </c>
      <c r="C159" s="14" t="s">
        <v>33</v>
      </c>
      <c r="D159" s="14" t="s">
        <v>169</v>
      </c>
      <c r="E159" s="14" t="s">
        <v>193</v>
      </c>
      <c r="F159" s="14">
        <v>22</v>
      </c>
      <c r="G159" s="15">
        <v>8.91</v>
      </c>
      <c r="H159" s="14" t="s">
        <v>58</v>
      </c>
      <c r="I159" s="14" t="s">
        <v>37</v>
      </c>
      <c r="J159" s="14" t="s">
        <v>38</v>
      </c>
      <c r="K159" s="14" t="s">
        <v>38</v>
      </c>
      <c r="L159" s="14" t="s">
        <v>50</v>
      </c>
      <c r="M159" s="14" t="s">
        <v>38</v>
      </c>
      <c r="N159" s="14" t="s">
        <v>38</v>
      </c>
      <c r="O159" s="14" t="s">
        <v>75</v>
      </c>
      <c r="P159" s="14">
        <v>71.7</v>
      </c>
      <c r="Q159" s="14">
        <v>40</v>
      </c>
      <c r="R159" s="14">
        <v>45</v>
      </c>
      <c r="S159" s="14">
        <v>2</v>
      </c>
      <c r="T159" s="14">
        <v>11</v>
      </c>
      <c r="U159" s="14" t="s">
        <v>42</v>
      </c>
      <c r="V159" s="14" t="s">
        <v>43</v>
      </c>
      <c r="W159" s="14" t="s">
        <v>44</v>
      </c>
      <c r="X159" s="14">
        <v>2</v>
      </c>
      <c r="Y159" s="14" t="s">
        <v>147</v>
      </c>
      <c r="Z159" s="17">
        <v>2.3333333333333335</v>
      </c>
      <c r="AA159" s="14">
        <v>3</v>
      </c>
      <c r="AB159" s="14">
        <v>4</v>
      </c>
      <c r="AC159" s="14">
        <v>0</v>
      </c>
      <c r="AD159" s="17">
        <f>IFERROR(Z159/(AA159*AB159)*AC159*AA159,"")</f>
        <v>0</v>
      </c>
      <c r="AE159" s="17">
        <f>Z159+AD159</f>
        <v>2.3333333333333335</v>
      </c>
      <c r="AF159" s="17"/>
      <c r="AG159" s="14">
        <f>AB159+AC159</f>
        <v>4</v>
      </c>
      <c r="AH159" s="18"/>
      <c r="AI159" s="19"/>
      <c r="AJ159" s="19"/>
      <c r="AK159" s="19"/>
      <c r="AL159" s="19"/>
      <c r="AM159" s="19"/>
    </row>
    <row r="160" spans="1:39" ht="15.75" customHeight="1">
      <c r="A160" s="2"/>
      <c r="B160" s="20" t="s">
        <v>389</v>
      </c>
      <c r="C160" s="14" t="s">
        <v>91</v>
      </c>
      <c r="D160" s="14" t="s">
        <v>169</v>
      </c>
      <c r="E160" s="14" t="s">
        <v>35</v>
      </c>
      <c r="F160" s="14">
        <v>20</v>
      </c>
      <c r="G160" s="15">
        <v>9.6</v>
      </c>
      <c r="H160" s="14" t="s">
        <v>36</v>
      </c>
      <c r="I160" s="14" t="s">
        <v>195</v>
      </c>
      <c r="J160" s="14" t="s">
        <v>40</v>
      </c>
      <c r="K160" s="14" t="s">
        <v>40</v>
      </c>
      <c r="L160" s="14" t="s">
        <v>196</v>
      </c>
      <c r="M160" s="14" t="s">
        <v>40</v>
      </c>
      <c r="N160" s="14" t="s">
        <v>40</v>
      </c>
      <c r="O160" s="14" t="s">
        <v>92</v>
      </c>
      <c r="P160" s="14">
        <v>87.2</v>
      </c>
      <c r="Q160" s="14">
        <v>41.1</v>
      </c>
      <c r="R160" s="14">
        <v>64.2</v>
      </c>
      <c r="S160" s="14">
        <v>1</v>
      </c>
      <c r="T160" s="14">
        <v>0</v>
      </c>
      <c r="U160" s="14" t="s">
        <v>195</v>
      </c>
      <c r="V160" s="14" t="s">
        <v>195</v>
      </c>
      <c r="W160" s="14" t="s">
        <v>85</v>
      </c>
      <c r="X160" s="14">
        <v>0</v>
      </c>
      <c r="Y160" s="14" t="s">
        <v>147</v>
      </c>
      <c r="Z160" s="17">
        <v>3.78125</v>
      </c>
      <c r="AA160" s="14">
        <v>3</v>
      </c>
      <c r="AB160" s="14">
        <v>4</v>
      </c>
      <c r="AC160" s="14">
        <v>1</v>
      </c>
      <c r="AD160" s="17">
        <f>IFERROR(Z160/(AA160*AB160)*AC160*AA160,"")</f>
        <v>0.9453125</v>
      </c>
      <c r="AE160" s="17">
        <f>Z160+AD160</f>
        <v>4.7265625</v>
      </c>
      <c r="AF160" s="17"/>
      <c r="AG160" s="14">
        <f>AB160+AC160</f>
        <v>5</v>
      </c>
      <c r="AH160" s="18"/>
      <c r="AI160" s="19"/>
      <c r="AJ160" s="19"/>
      <c r="AK160" s="19"/>
      <c r="AL160" s="19"/>
      <c r="AM160" s="19"/>
    </row>
    <row r="161" spans="1:39" ht="15.75" customHeight="1">
      <c r="A161" s="2"/>
      <c r="B161" s="20" t="s">
        <v>390</v>
      </c>
      <c r="C161" s="14" t="s">
        <v>158</v>
      </c>
      <c r="D161" s="14" t="s">
        <v>254</v>
      </c>
      <c r="E161" s="14" t="s">
        <v>391</v>
      </c>
      <c r="F161" s="14">
        <v>26</v>
      </c>
      <c r="G161" s="15">
        <v>10.53</v>
      </c>
      <c r="H161" s="14" t="s">
        <v>58</v>
      </c>
      <c r="I161" s="14" t="s">
        <v>37</v>
      </c>
      <c r="J161" s="14" t="s">
        <v>38</v>
      </c>
      <c r="K161" s="14" t="s">
        <v>38</v>
      </c>
      <c r="L161" s="14" t="s">
        <v>50</v>
      </c>
      <c r="M161" s="14" t="s">
        <v>38</v>
      </c>
      <c r="N161" s="14" t="s">
        <v>40</v>
      </c>
      <c r="O161" s="14" t="s">
        <v>41</v>
      </c>
      <c r="P161" s="14">
        <v>71.7</v>
      </c>
      <c r="Q161" s="14">
        <v>40</v>
      </c>
      <c r="R161" s="14">
        <v>45</v>
      </c>
      <c r="S161" s="14">
        <v>3</v>
      </c>
      <c r="T161" s="14">
        <v>18</v>
      </c>
      <c r="U161" s="14" t="s">
        <v>42</v>
      </c>
      <c r="V161" s="14" t="s">
        <v>43</v>
      </c>
      <c r="W161" s="14" t="s">
        <v>44</v>
      </c>
      <c r="X161" s="14">
        <v>1</v>
      </c>
      <c r="Y161" s="14" t="s">
        <v>147</v>
      </c>
      <c r="Z161" s="17">
        <v>2.4166666666666665</v>
      </c>
      <c r="AA161" s="14">
        <v>3</v>
      </c>
      <c r="AB161" s="14">
        <v>4</v>
      </c>
      <c r="AC161" s="14">
        <v>0</v>
      </c>
      <c r="AD161" s="17">
        <f>IFERROR(Z161/(AA161*AB161)*AC161*AA161,"")</f>
        <v>0</v>
      </c>
      <c r="AE161" s="17">
        <f>Z161+AD161</f>
        <v>2.4166666666666665</v>
      </c>
      <c r="AF161" s="17"/>
      <c r="AG161" s="14">
        <f>AB161+AC161</f>
        <v>4</v>
      </c>
      <c r="AH161" s="18" t="s">
        <v>392</v>
      </c>
      <c r="AI161" s="19"/>
      <c r="AJ161" s="19"/>
      <c r="AK161" s="19"/>
      <c r="AL161" s="19"/>
      <c r="AM161" s="19"/>
    </row>
    <row r="162" spans="1:39" ht="15.75" customHeight="1">
      <c r="A162" s="2"/>
      <c r="B162" s="20" t="s">
        <v>393</v>
      </c>
      <c r="C162" s="14" t="s">
        <v>143</v>
      </c>
      <c r="D162" s="14" t="s">
        <v>326</v>
      </c>
      <c r="E162" s="14" t="s">
        <v>35</v>
      </c>
      <c r="F162" s="14">
        <v>20</v>
      </c>
      <c r="G162" s="15">
        <v>7.8</v>
      </c>
      <c r="H162" s="14" t="s">
        <v>58</v>
      </c>
      <c r="I162" s="14" t="s">
        <v>37</v>
      </c>
      <c r="J162" s="14" t="s">
        <v>38</v>
      </c>
      <c r="K162" s="14" t="s">
        <v>40</v>
      </c>
      <c r="L162" s="14" t="s">
        <v>50</v>
      </c>
      <c r="M162" s="14" t="s">
        <v>38</v>
      </c>
      <c r="N162" s="14" t="s">
        <v>40</v>
      </c>
      <c r="O162" s="14" t="s">
        <v>41</v>
      </c>
      <c r="P162" s="14">
        <v>69.06</v>
      </c>
      <c r="Q162" s="14">
        <v>43.15</v>
      </c>
      <c r="R162" s="14">
        <v>46.3</v>
      </c>
      <c r="S162" s="14">
        <v>1</v>
      </c>
      <c r="T162" s="14">
        <v>10</v>
      </c>
      <c r="U162" s="14" t="s">
        <v>42</v>
      </c>
      <c r="V162" s="14" t="s">
        <v>43</v>
      </c>
      <c r="W162" s="14" t="s">
        <v>44</v>
      </c>
      <c r="X162" s="14">
        <v>1</v>
      </c>
      <c r="Y162" s="14" t="s">
        <v>222</v>
      </c>
      <c r="Z162" s="17">
        <v>2.3854166666666665</v>
      </c>
      <c r="AA162" s="14">
        <v>2</v>
      </c>
      <c r="AB162" s="14">
        <v>4</v>
      </c>
      <c r="AC162" s="14">
        <v>0</v>
      </c>
      <c r="AD162" s="17">
        <f>IFERROR(Z162/(AA162*AB162)*AC162*AA162,"")</f>
        <v>0</v>
      </c>
      <c r="AE162" s="17">
        <f>Z162+AD162</f>
        <v>2.3854166666666665</v>
      </c>
      <c r="AF162" s="17"/>
      <c r="AG162" s="14">
        <f>AB162+AC162</f>
        <v>4</v>
      </c>
      <c r="AH162" s="18"/>
      <c r="AI162" s="19"/>
      <c r="AJ162" s="19"/>
      <c r="AK162" s="19"/>
      <c r="AL162" s="19"/>
      <c r="AM162" s="19"/>
    </row>
    <row r="163" spans="1:39" ht="15.75" customHeight="1">
      <c r="A163" s="2"/>
      <c r="B163" s="20" t="s">
        <v>394</v>
      </c>
      <c r="C163" s="14" t="s">
        <v>325</v>
      </c>
      <c r="D163" s="14" t="s">
        <v>326</v>
      </c>
      <c r="E163" s="14" t="s">
        <v>111</v>
      </c>
      <c r="F163" s="14">
        <v>24</v>
      </c>
      <c r="G163" s="15">
        <v>9.36</v>
      </c>
      <c r="H163" s="14" t="s">
        <v>36</v>
      </c>
      <c r="I163" s="14" t="s">
        <v>37</v>
      </c>
      <c r="J163" s="14" t="s">
        <v>38</v>
      </c>
      <c r="K163" s="14" t="s">
        <v>40</v>
      </c>
      <c r="L163" s="14" t="s">
        <v>258</v>
      </c>
      <c r="M163" s="14" t="s">
        <v>40</v>
      </c>
      <c r="N163" s="14" t="s">
        <v>40</v>
      </c>
      <c r="O163" s="14" t="s">
        <v>41</v>
      </c>
      <c r="P163" s="14">
        <v>69.06</v>
      </c>
      <c r="Q163" s="14">
        <v>43.15</v>
      </c>
      <c r="R163" s="14">
        <v>46.3</v>
      </c>
      <c r="S163" s="14">
        <v>1</v>
      </c>
      <c r="T163" s="14">
        <v>0</v>
      </c>
      <c r="U163" s="14" t="s">
        <v>42</v>
      </c>
      <c r="V163" s="14" t="s">
        <v>43</v>
      </c>
      <c r="W163" s="14" t="s">
        <v>44</v>
      </c>
      <c r="X163" s="14">
        <v>1</v>
      </c>
      <c r="Y163" s="14" t="s">
        <v>222</v>
      </c>
      <c r="Z163" s="17">
        <v>2.1145833333333335</v>
      </c>
      <c r="AA163" s="14">
        <v>2</v>
      </c>
      <c r="AB163" s="14">
        <v>4</v>
      </c>
      <c r="AC163" s="14">
        <v>0</v>
      </c>
      <c r="AD163" s="17">
        <f>IFERROR(Z163/(AA163*AB163)*AC163*AA163,"")</f>
        <v>0</v>
      </c>
      <c r="AE163" s="17">
        <f>Z163+AD163</f>
        <v>2.1145833333333335</v>
      </c>
      <c r="AF163" s="17"/>
      <c r="AG163" s="14">
        <f>AB163+AC163</f>
        <v>4</v>
      </c>
      <c r="AH163" s="18"/>
      <c r="AI163" s="19"/>
      <c r="AJ163" s="19"/>
      <c r="AK163" s="19"/>
      <c r="AL163" s="19"/>
      <c r="AM163" s="19"/>
    </row>
    <row r="164" spans="1:39" ht="15.75" customHeight="1">
      <c r="A164" s="2"/>
      <c r="B164" s="20" t="s">
        <v>395</v>
      </c>
      <c r="C164" s="14" t="s">
        <v>168</v>
      </c>
      <c r="D164" s="14" t="s">
        <v>70</v>
      </c>
      <c r="E164" s="14" t="s">
        <v>35</v>
      </c>
      <c r="F164" s="14">
        <v>2</v>
      </c>
      <c r="G164" s="15">
        <v>0.74</v>
      </c>
      <c r="H164" s="14" t="s">
        <v>396</v>
      </c>
      <c r="I164" s="14" t="s">
        <v>37</v>
      </c>
      <c r="J164" s="14"/>
      <c r="K164" s="14"/>
      <c r="L164" s="14" t="s">
        <v>50</v>
      </c>
      <c r="M164" s="14" t="s">
        <v>38</v>
      </c>
      <c r="N164" s="14" t="s">
        <v>40</v>
      </c>
      <c r="O164" s="14" t="s">
        <v>41</v>
      </c>
      <c r="P164" s="14">
        <v>70.67</v>
      </c>
      <c r="Q164" s="14">
        <v>39.979999999999997</v>
      </c>
      <c r="R164" s="14">
        <v>41.9</v>
      </c>
      <c r="S164" s="14">
        <v>1</v>
      </c>
      <c r="T164" s="14">
        <v>0</v>
      </c>
      <c r="U164" s="14" t="s">
        <v>42</v>
      </c>
      <c r="V164" s="14" t="s">
        <v>43</v>
      </c>
      <c r="W164" s="14" t="s">
        <v>44</v>
      </c>
      <c r="X164" s="14">
        <v>1</v>
      </c>
      <c r="Y164" s="14" t="s">
        <v>147</v>
      </c>
      <c r="Z164" s="17">
        <v>0.25</v>
      </c>
      <c r="AA164" s="14">
        <v>1</v>
      </c>
      <c r="AB164" s="14">
        <v>1</v>
      </c>
      <c r="AC164" s="14">
        <v>1</v>
      </c>
      <c r="AD164" s="17">
        <f>IFERROR(Z164/(AA164*AB164)*AC164*AA164,"")</f>
        <v>0.25</v>
      </c>
      <c r="AE164" s="17">
        <f>Z164+AD164</f>
        <v>0.5</v>
      </c>
      <c r="AF164" s="17"/>
      <c r="AG164" s="14">
        <f>AB164+AC164</f>
        <v>2</v>
      </c>
      <c r="AH164" s="18"/>
      <c r="AI164" s="19"/>
      <c r="AJ164" s="19"/>
      <c r="AK164" s="19"/>
      <c r="AL164" s="19"/>
      <c r="AM164" s="19"/>
    </row>
    <row r="165" spans="1:39" ht="15.75" customHeight="1">
      <c r="A165" s="2"/>
      <c r="B165" s="20" t="s">
        <v>397</v>
      </c>
      <c r="C165" s="14" t="s">
        <v>285</v>
      </c>
      <c r="D165" s="14" t="s">
        <v>78</v>
      </c>
      <c r="E165" s="14" t="s">
        <v>84</v>
      </c>
      <c r="F165" s="14">
        <v>20</v>
      </c>
      <c r="G165" s="15">
        <v>8.1</v>
      </c>
      <c r="H165" s="14" t="s">
        <v>58</v>
      </c>
      <c r="I165" s="14" t="s">
        <v>37</v>
      </c>
      <c r="J165" s="14" t="s">
        <v>38</v>
      </c>
      <c r="K165" s="14" t="s">
        <v>40</v>
      </c>
      <c r="L165" s="14" t="s">
        <v>50</v>
      </c>
      <c r="M165" s="14" t="s">
        <v>38</v>
      </c>
      <c r="N165" s="14" t="s">
        <v>40</v>
      </c>
      <c r="O165" s="14" t="s">
        <v>41</v>
      </c>
      <c r="P165" s="14">
        <v>71.7</v>
      </c>
      <c r="Q165" s="14">
        <v>40</v>
      </c>
      <c r="R165" s="14">
        <v>45</v>
      </c>
      <c r="S165" s="14">
        <v>1</v>
      </c>
      <c r="T165" s="14">
        <v>12</v>
      </c>
      <c r="U165" s="14" t="s">
        <v>42</v>
      </c>
      <c r="V165" s="14" t="s">
        <v>43</v>
      </c>
      <c r="W165" s="14" t="s">
        <v>44</v>
      </c>
      <c r="X165" s="14">
        <v>1</v>
      </c>
      <c r="Y165" s="14" t="s">
        <v>147</v>
      </c>
      <c r="Z165" s="17">
        <v>1.46875</v>
      </c>
      <c r="AA165" s="14">
        <v>1</v>
      </c>
      <c r="AB165" s="14">
        <v>4</v>
      </c>
      <c r="AC165" s="14">
        <v>0</v>
      </c>
      <c r="AD165" s="17">
        <f>IFERROR(Z165/(AA165*AB165)*AC165*AA165,"")</f>
        <v>0</v>
      </c>
      <c r="AE165" s="17">
        <f>Z165+AD165</f>
        <v>1.46875</v>
      </c>
      <c r="AF165" s="17"/>
      <c r="AG165" s="14">
        <f>AB165+AC165</f>
        <v>4</v>
      </c>
      <c r="AH165" s="18"/>
      <c r="AI165" s="19"/>
      <c r="AJ165" s="19"/>
      <c r="AK165" s="19"/>
      <c r="AL165" s="19"/>
      <c r="AM165" s="19"/>
    </row>
    <row r="166" spans="1:39" ht="15.75" customHeight="1">
      <c r="A166" s="2"/>
      <c r="B166" s="20" t="s">
        <v>398</v>
      </c>
      <c r="C166" s="14" t="s">
        <v>325</v>
      </c>
      <c r="D166" s="14" t="s">
        <v>66</v>
      </c>
      <c r="E166" s="14" t="s">
        <v>35</v>
      </c>
      <c r="F166" s="14">
        <v>8</v>
      </c>
      <c r="G166" s="15">
        <v>3.24</v>
      </c>
      <c r="H166" s="14" t="s">
        <v>58</v>
      </c>
      <c r="I166" s="14" t="s">
        <v>37</v>
      </c>
      <c r="J166" s="14" t="s">
        <v>40</v>
      </c>
      <c r="K166" s="14" t="s">
        <v>40</v>
      </c>
      <c r="L166" s="14" t="s">
        <v>122</v>
      </c>
      <c r="M166" s="14" t="s">
        <v>40</v>
      </c>
      <c r="N166" s="14" t="s">
        <v>38</v>
      </c>
      <c r="O166" s="14" t="s">
        <v>41</v>
      </c>
      <c r="P166" s="14">
        <v>71.7</v>
      </c>
      <c r="Q166" s="14">
        <v>40</v>
      </c>
      <c r="R166" s="14">
        <v>45</v>
      </c>
      <c r="S166" s="14">
        <v>1</v>
      </c>
      <c r="T166" s="14">
        <v>0</v>
      </c>
      <c r="U166" s="14" t="s">
        <v>123</v>
      </c>
      <c r="V166" s="14" t="s">
        <v>124</v>
      </c>
      <c r="W166" s="14" t="s">
        <v>85</v>
      </c>
      <c r="X166" s="14">
        <v>1</v>
      </c>
      <c r="Y166" s="14" t="s">
        <v>147</v>
      </c>
      <c r="Z166" s="17">
        <v>1.875</v>
      </c>
      <c r="AA166" s="14">
        <v>2</v>
      </c>
      <c r="AB166" s="14">
        <v>4</v>
      </c>
      <c r="AC166" s="14">
        <v>0</v>
      </c>
      <c r="AD166" s="17">
        <f>IFERROR(Z166/(AA166*AB166)*AC166*AA166,"")</f>
        <v>0</v>
      </c>
      <c r="AE166" s="17">
        <f>Z166+AD166</f>
        <v>1.875</v>
      </c>
      <c r="AF166" s="17"/>
      <c r="AG166" s="14">
        <f>AB166+AC166</f>
        <v>4</v>
      </c>
      <c r="AH166" s="18"/>
      <c r="AI166" s="19"/>
      <c r="AJ166" s="19"/>
      <c r="AK166" s="19"/>
      <c r="AL166" s="19"/>
      <c r="AM166" s="19"/>
    </row>
    <row r="167" spans="1:39" ht="15.75" customHeight="1">
      <c r="A167" s="2"/>
      <c r="B167" s="20" t="s">
        <v>399</v>
      </c>
      <c r="C167" s="14" t="s">
        <v>158</v>
      </c>
      <c r="D167" s="14" t="s">
        <v>66</v>
      </c>
      <c r="E167" s="14" t="s">
        <v>269</v>
      </c>
      <c r="F167" s="14">
        <v>26</v>
      </c>
      <c r="G167" s="15">
        <v>10.53</v>
      </c>
      <c r="H167" s="14" t="s">
        <v>58</v>
      </c>
      <c r="I167" s="14" t="s">
        <v>37</v>
      </c>
      <c r="J167" s="14" t="s">
        <v>38</v>
      </c>
      <c r="K167" s="14" t="s">
        <v>38</v>
      </c>
      <c r="L167" s="14" t="s">
        <v>39</v>
      </c>
      <c r="M167" s="14" t="s">
        <v>40</v>
      </c>
      <c r="N167" s="14" t="s">
        <v>38</v>
      </c>
      <c r="O167" s="14" t="s">
        <v>41</v>
      </c>
      <c r="P167" s="14">
        <v>71.7</v>
      </c>
      <c r="Q167" s="14">
        <v>40</v>
      </c>
      <c r="R167" s="14">
        <v>45</v>
      </c>
      <c r="S167" s="14">
        <v>2</v>
      </c>
      <c r="T167" s="14">
        <v>0</v>
      </c>
      <c r="U167" s="14" t="s">
        <v>42</v>
      </c>
      <c r="V167" s="14" t="s">
        <v>43</v>
      </c>
      <c r="W167" s="14" t="s">
        <v>44</v>
      </c>
      <c r="X167" s="14">
        <v>1</v>
      </c>
      <c r="Y167" s="14" t="s">
        <v>222</v>
      </c>
      <c r="Z167" s="17">
        <v>2.4479166666666665</v>
      </c>
      <c r="AA167" s="14">
        <v>2</v>
      </c>
      <c r="AB167" s="14">
        <v>4</v>
      </c>
      <c r="AC167" s="14">
        <v>0</v>
      </c>
      <c r="AD167" s="17">
        <f>IFERROR(Z167/(AA167*AB167)*AC167*AA167,"")</f>
        <v>0</v>
      </c>
      <c r="AE167" s="17">
        <f>Z167+AD167</f>
        <v>2.4479166666666665</v>
      </c>
      <c r="AF167" s="17"/>
      <c r="AG167" s="14">
        <f>AB167+AC167</f>
        <v>4</v>
      </c>
      <c r="AH167" s="18"/>
      <c r="AI167" s="19"/>
      <c r="AJ167" s="19"/>
      <c r="AK167" s="19"/>
      <c r="AL167" s="19"/>
      <c r="AM167" s="19"/>
    </row>
    <row r="168" spans="1:39" ht="15.75" customHeight="1">
      <c r="A168" s="2"/>
      <c r="B168" s="20" t="s">
        <v>400</v>
      </c>
      <c r="C168" s="14" t="s">
        <v>77</v>
      </c>
      <c r="D168" s="14" t="s">
        <v>401</v>
      </c>
      <c r="E168" s="14" t="s">
        <v>35</v>
      </c>
      <c r="F168" s="14">
        <v>60</v>
      </c>
      <c r="G168" s="15">
        <v>24.3</v>
      </c>
      <c r="H168" s="14" t="s">
        <v>58</v>
      </c>
      <c r="I168" s="14" t="s">
        <v>37</v>
      </c>
      <c r="J168" s="14" t="s">
        <v>40</v>
      </c>
      <c r="K168" s="14" t="s">
        <v>40</v>
      </c>
      <c r="L168" s="14" t="s">
        <v>122</v>
      </c>
      <c r="M168" s="14" t="s">
        <v>40</v>
      </c>
      <c r="N168" s="14" t="s">
        <v>40</v>
      </c>
      <c r="O168" s="14" t="s">
        <v>100</v>
      </c>
      <c r="P168" s="14">
        <v>71.7</v>
      </c>
      <c r="Q168" s="14">
        <v>40</v>
      </c>
      <c r="R168" s="14">
        <v>45</v>
      </c>
      <c r="S168" s="14">
        <v>1</v>
      </c>
      <c r="T168" s="14">
        <v>0</v>
      </c>
      <c r="U168" s="14" t="s">
        <v>123</v>
      </c>
      <c r="V168" s="14" t="s">
        <v>124</v>
      </c>
      <c r="W168" s="14" t="s">
        <v>85</v>
      </c>
      <c r="X168" s="14">
        <v>1</v>
      </c>
      <c r="Y168" s="14" t="s">
        <v>114</v>
      </c>
      <c r="Z168" s="17">
        <v>3.7395833333333335</v>
      </c>
      <c r="AA168" s="14">
        <v>3</v>
      </c>
      <c r="AB168" s="14">
        <v>4</v>
      </c>
      <c r="AC168" s="14">
        <v>0</v>
      </c>
      <c r="AD168" s="17">
        <f>IFERROR(Z168/(AA168*AB168)*AC168*AA168,"")</f>
        <v>0</v>
      </c>
      <c r="AE168" s="17">
        <f>Z168+AD168</f>
        <v>3.7395833333333335</v>
      </c>
      <c r="AF168" s="17"/>
      <c r="AG168" s="14">
        <f>AB168+AC168</f>
        <v>4</v>
      </c>
      <c r="AH168" s="18"/>
      <c r="AI168" s="19"/>
      <c r="AJ168" s="19"/>
      <c r="AK168" s="19"/>
      <c r="AL168" s="19"/>
      <c r="AM168" s="19"/>
    </row>
    <row r="169" spans="1:39" ht="15.75" customHeight="1">
      <c r="A169" s="2"/>
      <c r="B169" s="20" t="s">
        <v>402</v>
      </c>
      <c r="C169" s="14" t="s">
        <v>137</v>
      </c>
      <c r="D169" s="14" t="s">
        <v>231</v>
      </c>
      <c r="E169" s="14" t="s">
        <v>357</v>
      </c>
      <c r="F169" s="14">
        <v>16</v>
      </c>
      <c r="G169" s="15">
        <v>6.48</v>
      </c>
      <c r="H169" s="14" t="s">
        <v>58</v>
      </c>
      <c r="I169" s="14" t="s">
        <v>37</v>
      </c>
      <c r="J169" s="14" t="s">
        <v>40</v>
      </c>
      <c r="K169" s="14" t="s">
        <v>40</v>
      </c>
      <c r="L169" s="14" t="s">
        <v>39</v>
      </c>
      <c r="M169" s="14" t="s">
        <v>40</v>
      </c>
      <c r="N169" s="14" t="s">
        <v>40</v>
      </c>
      <c r="O169" s="14" t="s">
        <v>41</v>
      </c>
      <c r="P169" s="14">
        <v>71.7</v>
      </c>
      <c r="Q169" s="14">
        <v>40</v>
      </c>
      <c r="R169" s="14">
        <v>45</v>
      </c>
      <c r="S169" s="14">
        <v>1</v>
      </c>
      <c r="T169" s="14">
        <v>0</v>
      </c>
      <c r="U169" s="14" t="s">
        <v>112</v>
      </c>
      <c r="V169" s="14" t="s">
        <v>113</v>
      </c>
      <c r="W169" s="14" t="s">
        <v>44</v>
      </c>
      <c r="X169" s="14">
        <v>1</v>
      </c>
      <c r="Y169" s="14" t="s">
        <v>45</v>
      </c>
      <c r="Z169" s="17">
        <v>1.3020833333333333</v>
      </c>
      <c r="AA169" s="14">
        <v>1</v>
      </c>
      <c r="AB169" s="14">
        <v>4</v>
      </c>
      <c r="AC169" s="14">
        <v>0</v>
      </c>
      <c r="AD169" s="17">
        <f>IFERROR(Z169/(AA169*AB169)*AC169*AA169,"")</f>
        <v>0</v>
      </c>
      <c r="AE169" s="17">
        <f>Z169+AD169</f>
        <v>1.3020833333333333</v>
      </c>
      <c r="AF169" s="17"/>
      <c r="AG169" s="14">
        <f>AB169+AC169</f>
        <v>4</v>
      </c>
      <c r="AH169" s="18"/>
      <c r="AI169" s="19"/>
      <c r="AJ169" s="19"/>
      <c r="AK169" s="19"/>
      <c r="AL169" s="19"/>
      <c r="AM169" s="19"/>
    </row>
    <row r="170" spans="1:39" ht="15.75" customHeight="1">
      <c r="A170" s="2"/>
      <c r="B170" s="20" t="s">
        <v>403</v>
      </c>
      <c r="C170" s="14" t="s">
        <v>404</v>
      </c>
      <c r="D170" s="14" t="s">
        <v>254</v>
      </c>
      <c r="E170" s="14" t="s">
        <v>405</v>
      </c>
      <c r="F170" s="14">
        <v>40</v>
      </c>
      <c r="G170" s="15">
        <v>17.600000000000001</v>
      </c>
      <c r="H170" s="14" t="s">
        <v>36</v>
      </c>
      <c r="I170" s="14" t="s">
        <v>37</v>
      </c>
      <c r="J170" s="14" t="s">
        <v>38</v>
      </c>
      <c r="K170" s="14" t="s">
        <v>40</v>
      </c>
      <c r="L170" s="14" t="s">
        <v>39</v>
      </c>
      <c r="M170" s="14" t="s">
        <v>40</v>
      </c>
      <c r="N170" s="14" t="s">
        <v>40</v>
      </c>
      <c r="O170" s="14" t="s">
        <v>59</v>
      </c>
      <c r="P170" s="14">
        <v>89.69</v>
      </c>
      <c r="Q170" s="14">
        <v>44.65</v>
      </c>
      <c r="R170" s="14">
        <v>57.32</v>
      </c>
      <c r="S170" s="14">
        <v>2</v>
      </c>
      <c r="T170" s="14">
        <v>0</v>
      </c>
      <c r="U170" s="14" t="s">
        <v>42</v>
      </c>
      <c r="V170" s="14" t="s">
        <v>43</v>
      </c>
      <c r="W170" s="14" t="s">
        <v>44</v>
      </c>
      <c r="X170" s="14">
        <v>2</v>
      </c>
      <c r="Y170" s="14" t="s">
        <v>222</v>
      </c>
      <c r="Z170" s="17">
        <v>2.9618055555555554</v>
      </c>
      <c r="AA170" s="14">
        <v>4</v>
      </c>
      <c r="AB170" s="14">
        <v>4</v>
      </c>
      <c r="AC170" s="14">
        <v>0</v>
      </c>
      <c r="AD170" s="17">
        <f>IFERROR(Z170/(AA170*AB170)*AC170*AA170,"")</f>
        <v>0</v>
      </c>
      <c r="AE170" s="17">
        <f>Z170+AD170</f>
        <v>2.9618055555555554</v>
      </c>
      <c r="AF170" s="17"/>
      <c r="AG170" s="14">
        <f>AB170+AC170</f>
        <v>4</v>
      </c>
      <c r="AH170" s="18"/>
      <c r="AI170" s="19"/>
      <c r="AJ170" s="19"/>
      <c r="AK170" s="19"/>
      <c r="AL170" s="19"/>
      <c r="AM170" s="19"/>
    </row>
    <row r="171" spans="1:39" ht="15.75" customHeight="1">
      <c r="A171" s="2"/>
      <c r="B171" s="20" t="s">
        <v>406</v>
      </c>
      <c r="C171" s="14" t="s">
        <v>116</v>
      </c>
      <c r="D171" s="14" t="s">
        <v>407</v>
      </c>
      <c r="E171" s="14" t="s">
        <v>35</v>
      </c>
      <c r="F171" s="14">
        <v>7</v>
      </c>
      <c r="G171" s="15">
        <v>2.835</v>
      </c>
      <c r="H171" s="14" t="s">
        <v>58</v>
      </c>
      <c r="I171" s="14" t="s">
        <v>37</v>
      </c>
      <c r="J171" s="14" t="s">
        <v>38</v>
      </c>
      <c r="K171" s="14" t="s">
        <v>40</v>
      </c>
      <c r="L171" s="14" t="s">
        <v>50</v>
      </c>
      <c r="M171" s="14" t="s">
        <v>40</v>
      </c>
      <c r="N171" s="14" t="s">
        <v>38</v>
      </c>
      <c r="O171" s="14" t="s">
        <v>41</v>
      </c>
      <c r="P171" s="14">
        <v>71.7</v>
      </c>
      <c r="Q171" s="14">
        <v>40</v>
      </c>
      <c r="R171" s="14">
        <v>45</v>
      </c>
      <c r="S171" s="14">
        <v>1</v>
      </c>
      <c r="T171" s="14">
        <v>0</v>
      </c>
      <c r="U171" s="14" t="s">
        <v>42</v>
      </c>
      <c r="V171" s="14" t="s">
        <v>43</v>
      </c>
      <c r="W171" s="14" t="s">
        <v>44</v>
      </c>
      <c r="X171" s="14">
        <v>1</v>
      </c>
      <c r="Y171" s="14" t="s">
        <v>222</v>
      </c>
      <c r="Z171" s="17">
        <v>1.2083333333333333</v>
      </c>
      <c r="AA171" s="14">
        <v>1</v>
      </c>
      <c r="AB171" s="14">
        <v>4</v>
      </c>
      <c r="AC171" s="14">
        <v>0</v>
      </c>
      <c r="AD171" s="17">
        <f>IFERROR(Z171/(AA171*AB171)*AC171*AA171,"")</f>
        <v>0</v>
      </c>
      <c r="AE171" s="17">
        <f>Z171+AD171</f>
        <v>1.2083333333333333</v>
      </c>
      <c r="AF171" s="17"/>
      <c r="AG171" s="14">
        <f>AB171+AC171</f>
        <v>4</v>
      </c>
      <c r="AH171" s="18"/>
      <c r="AI171" s="19"/>
      <c r="AJ171" s="19"/>
      <c r="AK171" s="19"/>
      <c r="AL171" s="19"/>
      <c r="AM171" s="19"/>
    </row>
    <row r="172" spans="1:39" ht="15.75" customHeight="1">
      <c r="A172" s="2"/>
      <c r="B172" s="20" t="s">
        <v>408</v>
      </c>
      <c r="C172" s="14" t="s">
        <v>205</v>
      </c>
      <c r="D172" s="14" t="s">
        <v>163</v>
      </c>
      <c r="E172" s="14" t="s">
        <v>35</v>
      </c>
      <c r="F172" s="14">
        <v>18</v>
      </c>
      <c r="G172" s="15">
        <v>7.29</v>
      </c>
      <c r="H172" s="14" t="s">
        <v>58</v>
      </c>
      <c r="I172" s="14" t="s">
        <v>37</v>
      </c>
      <c r="J172" s="14" t="s">
        <v>38</v>
      </c>
      <c r="K172" s="14" t="s">
        <v>40</v>
      </c>
      <c r="L172" s="14" t="s">
        <v>39</v>
      </c>
      <c r="M172" s="14" t="s">
        <v>40</v>
      </c>
      <c r="N172" s="14" t="s">
        <v>38</v>
      </c>
      <c r="O172" s="14" t="s">
        <v>41</v>
      </c>
      <c r="P172" s="14">
        <v>71.7</v>
      </c>
      <c r="Q172" s="14">
        <v>40</v>
      </c>
      <c r="R172" s="14">
        <v>45</v>
      </c>
      <c r="S172" s="14">
        <v>3</v>
      </c>
      <c r="T172" s="14">
        <v>0</v>
      </c>
      <c r="U172" s="14" t="s">
        <v>42</v>
      </c>
      <c r="V172" s="14" t="s">
        <v>43</v>
      </c>
      <c r="W172" s="14" t="s">
        <v>44</v>
      </c>
      <c r="X172" s="14">
        <v>2</v>
      </c>
      <c r="Y172" s="14" t="s">
        <v>222</v>
      </c>
      <c r="Z172" s="17">
        <v>2.4791666666666665</v>
      </c>
      <c r="AA172" s="14">
        <v>2</v>
      </c>
      <c r="AB172" s="14">
        <v>4</v>
      </c>
      <c r="AC172" s="14">
        <v>0</v>
      </c>
      <c r="AD172" s="17">
        <f>IFERROR(Z172/(AA172*AB172)*AC172*AA172,"")</f>
        <v>0</v>
      </c>
      <c r="AE172" s="17">
        <f>Z172+AD172</f>
        <v>2.4791666666666665</v>
      </c>
      <c r="AF172" s="17"/>
      <c r="AG172" s="14">
        <f>AB172+AC172</f>
        <v>4</v>
      </c>
      <c r="AH172" s="18"/>
      <c r="AI172" s="19"/>
      <c r="AJ172" s="19"/>
      <c r="AK172" s="19"/>
      <c r="AL172" s="19"/>
      <c r="AM172" s="19"/>
    </row>
    <row r="173" spans="1:39" ht="15.75" customHeight="1">
      <c r="A173" s="2"/>
      <c r="B173" s="20" t="s">
        <v>409</v>
      </c>
      <c r="C173" s="14" t="s">
        <v>77</v>
      </c>
      <c r="D173" s="14" t="s">
        <v>78</v>
      </c>
      <c r="E173" s="14" t="s">
        <v>410</v>
      </c>
      <c r="F173" s="14">
        <v>19</v>
      </c>
      <c r="G173" s="15">
        <v>7.6950000000000003</v>
      </c>
      <c r="H173" s="14" t="s">
        <v>58</v>
      </c>
      <c r="I173" s="14" t="s">
        <v>37</v>
      </c>
      <c r="J173" s="14" t="s">
        <v>38</v>
      </c>
      <c r="K173" s="14" t="s">
        <v>40</v>
      </c>
      <c r="L173" s="14" t="s">
        <v>50</v>
      </c>
      <c r="M173" s="14" t="s">
        <v>40</v>
      </c>
      <c r="N173" s="14" t="s">
        <v>40</v>
      </c>
      <c r="O173" s="14" t="s">
        <v>290</v>
      </c>
      <c r="P173" s="14">
        <v>71.7</v>
      </c>
      <c r="Q173" s="14">
        <v>40</v>
      </c>
      <c r="R173" s="14">
        <v>45</v>
      </c>
      <c r="S173" s="14">
        <v>2</v>
      </c>
      <c r="T173" s="14">
        <v>0</v>
      </c>
      <c r="U173" s="14" t="s">
        <v>42</v>
      </c>
      <c r="V173" s="14" t="s">
        <v>43</v>
      </c>
      <c r="W173" s="14" t="s">
        <v>44</v>
      </c>
      <c r="X173" s="14">
        <v>1</v>
      </c>
      <c r="Y173" s="14" t="s">
        <v>222</v>
      </c>
      <c r="Z173" s="17">
        <v>1.4375</v>
      </c>
      <c r="AA173" s="14">
        <v>1</v>
      </c>
      <c r="AB173" s="14">
        <v>4</v>
      </c>
      <c r="AC173" s="14">
        <v>0</v>
      </c>
      <c r="AD173" s="17">
        <f>IFERROR(Z173/(AA173*AB173)*AC173*AA173,"")</f>
        <v>0</v>
      </c>
      <c r="AE173" s="17">
        <f>Z173+AD173</f>
        <v>1.4375</v>
      </c>
      <c r="AF173" s="17"/>
      <c r="AG173" s="14">
        <f>AB173+AC173</f>
        <v>4</v>
      </c>
      <c r="AH173" s="18"/>
      <c r="AI173" s="19"/>
      <c r="AJ173" s="19"/>
      <c r="AK173" s="19"/>
      <c r="AL173" s="19"/>
      <c r="AM173" s="19"/>
    </row>
    <row r="174" spans="1:39" ht="15.75" customHeight="1">
      <c r="A174" s="2"/>
      <c r="B174" s="20" t="s">
        <v>411</v>
      </c>
      <c r="C174" s="14" t="s">
        <v>109</v>
      </c>
      <c r="D174" s="14" t="s">
        <v>412</v>
      </c>
      <c r="E174" s="14" t="s">
        <v>413</v>
      </c>
      <c r="F174" s="14">
        <v>16</v>
      </c>
      <c r="G174" s="15">
        <v>7.04</v>
      </c>
      <c r="H174" s="14" t="s">
        <v>414</v>
      </c>
      <c r="I174" s="14" t="s">
        <v>37</v>
      </c>
      <c r="J174" s="14" t="s">
        <v>38</v>
      </c>
      <c r="K174" s="14" t="s">
        <v>40</v>
      </c>
      <c r="L174" s="14" t="s">
        <v>39</v>
      </c>
      <c r="M174" s="14" t="s">
        <v>40</v>
      </c>
      <c r="N174" s="14" t="s">
        <v>40</v>
      </c>
      <c r="O174" s="14" t="s">
        <v>41</v>
      </c>
      <c r="P174" s="14">
        <v>89.69</v>
      </c>
      <c r="Q174" s="14">
        <v>44.65</v>
      </c>
      <c r="R174" s="14">
        <v>57.32</v>
      </c>
      <c r="S174" s="14">
        <v>3</v>
      </c>
      <c r="T174" s="14">
        <v>0</v>
      </c>
      <c r="U174" s="14" t="s">
        <v>42</v>
      </c>
      <c r="V174" s="14" t="s">
        <v>378</v>
      </c>
      <c r="W174" s="14" t="s">
        <v>62</v>
      </c>
      <c r="X174" s="14">
        <v>2</v>
      </c>
      <c r="Y174" s="14" t="s">
        <v>45</v>
      </c>
      <c r="Z174" s="17">
        <v>1.6944444444444444</v>
      </c>
      <c r="AA174" s="14">
        <v>2</v>
      </c>
      <c r="AB174" s="14">
        <v>4</v>
      </c>
      <c r="AC174" s="14">
        <v>0</v>
      </c>
      <c r="AD174" s="17">
        <f>IFERROR(Z174/(AA174*AB174)*AC174*AA174,"")</f>
        <v>0</v>
      </c>
      <c r="AE174" s="17">
        <f>Z174+AD174</f>
        <v>1.6944444444444444</v>
      </c>
      <c r="AF174" s="17"/>
      <c r="AG174" s="14">
        <f>AB174+AC174</f>
        <v>4</v>
      </c>
      <c r="AH174" s="18" t="s">
        <v>415</v>
      </c>
      <c r="AI174" s="19"/>
      <c r="AJ174" s="19"/>
      <c r="AK174" s="19"/>
      <c r="AL174" s="19"/>
      <c r="AM174" s="19"/>
    </row>
    <row r="175" spans="1:39" ht="15.75" customHeight="1">
      <c r="A175" s="2"/>
      <c r="B175" s="20" t="s">
        <v>416</v>
      </c>
      <c r="C175" s="14" t="s">
        <v>109</v>
      </c>
      <c r="D175" s="14" t="s">
        <v>412</v>
      </c>
      <c r="E175" s="14" t="s">
        <v>417</v>
      </c>
      <c r="F175" s="14">
        <v>16</v>
      </c>
      <c r="G175" s="15">
        <v>7.04</v>
      </c>
      <c r="H175" s="14" t="s">
        <v>414</v>
      </c>
      <c r="I175" s="14" t="s">
        <v>37</v>
      </c>
      <c r="J175" s="14" t="s">
        <v>38</v>
      </c>
      <c r="K175" s="14" t="s">
        <v>40</v>
      </c>
      <c r="L175" s="14" t="s">
        <v>39</v>
      </c>
      <c r="M175" s="14" t="s">
        <v>40</v>
      </c>
      <c r="N175" s="14" t="s">
        <v>40</v>
      </c>
      <c r="O175" s="14" t="s">
        <v>41</v>
      </c>
      <c r="P175" s="14">
        <v>89.69</v>
      </c>
      <c r="Q175" s="14">
        <v>44.65</v>
      </c>
      <c r="R175" s="14">
        <v>57.32</v>
      </c>
      <c r="S175" s="14">
        <v>2</v>
      </c>
      <c r="T175" s="14">
        <v>0</v>
      </c>
      <c r="U175" s="14" t="s">
        <v>42</v>
      </c>
      <c r="V175" s="14" t="s">
        <v>378</v>
      </c>
      <c r="W175" s="14" t="s">
        <v>62</v>
      </c>
      <c r="X175" s="14">
        <v>2</v>
      </c>
      <c r="Y175" s="14" t="s">
        <v>45</v>
      </c>
      <c r="Z175" s="17">
        <v>1.6944444444444444</v>
      </c>
      <c r="AA175" s="14">
        <v>3</v>
      </c>
      <c r="AB175" s="14">
        <v>4</v>
      </c>
      <c r="AC175" s="14">
        <v>0</v>
      </c>
      <c r="AD175" s="17">
        <f>IFERROR(Z175/(AA175*AB175)*AC175*AA175,"")</f>
        <v>0</v>
      </c>
      <c r="AE175" s="17">
        <f>Z175+AD175</f>
        <v>1.6944444444444444</v>
      </c>
      <c r="AF175" s="17"/>
      <c r="AG175" s="14">
        <f>AB175+AC175</f>
        <v>4</v>
      </c>
      <c r="AH175" s="18" t="s">
        <v>415</v>
      </c>
      <c r="AI175" s="19"/>
      <c r="AJ175" s="19"/>
      <c r="AK175" s="19"/>
      <c r="AL175" s="19"/>
      <c r="AM175" s="19"/>
    </row>
    <row r="176" spans="1:39" ht="15.75" customHeight="1">
      <c r="A176" s="2"/>
      <c r="B176" s="20" t="s">
        <v>418</v>
      </c>
      <c r="C176" s="14" t="s">
        <v>109</v>
      </c>
      <c r="D176" s="14" t="s">
        <v>412</v>
      </c>
      <c r="E176" s="14" t="s">
        <v>413</v>
      </c>
      <c r="F176" s="14">
        <v>16</v>
      </c>
      <c r="G176" s="15">
        <v>7.04</v>
      </c>
      <c r="H176" s="14" t="s">
        <v>414</v>
      </c>
      <c r="I176" s="14" t="s">
        <v>37</v>
      </c>
      <c r="J176" s="14" t="s">
        <v>38</v>
      </c>
      <c r="K176" s="14" t="s">
        <v>40</v>
      </c>
      <c r="L176" s="14" t="s">
        <v>39</v>
      </c>
      <c r="M176" s="14" t="s">
        <v>40</v>
      </c>
      <c r="N176" s="14" t="s">
        <v>40</v>
      </c>
      <c r="O176" s="14" t="s">
        <v>41</v>
      </c>
      <c r="P176" s="14">
        <v>89.69</v>
      </c>
      <c r="Q176" s="14">
        <v>44.65</v>
      </c>
      <c r="R176" s="14">
        <v>57.32</v>
      </c>
      <c r="S176" s="14">
        <v>3</v>
      </c>
      <c r="T176" s="14">
        <v>0</v>
      </c>
      <c r="U176" s="14" t="s">
        <v>42</v>
      </c>
      <c r="V176" s="14" t="s">
        <v>378</v>
      </c>
      <c r="W176" s="14" t="s">
        <v>62</v>
      </c>
      <c r="X176" s="14">
        <v>2</v>
      </c>
      <c r="Y176" s="14" t="s">
        <v>45</v>
      </c>
      <c r="Z176" s="17">
        <v>1.6944444444444444</v>
      </c>
      <c r="AA176" s="14">
        <v>2</v>
      </c>
      <c r="AB176" s="14">
        <v>4</v>
      </c>
      <c r="AC176" s="14">
        <v>0</v>
      </c>
      <c r="AD176" s="17">
        <f>IFERROR(Z176/(AA176*AB176)*AC176*AA176,"")</f>
        <v>0</v>
      </c>
      <c r="AE176" s="17">
        <f>Z176+AD176</f>
        <v>1.6944444444444444</v>
      </c>
      <c r="AF176" s="17"/>
      <c r="AG176" s="14">
        <f>AB176+AC176</f>
        <v>4</v>
      </c>
      <c r="AH176" s="18" t="s">
        <v>415</v>
      </c>
      <c r="AI176" s="19"/>
      <c r="AJ176" s="19"/>
      <c r="AK176" s="19"/>
      <c r="AL176" s="19"/>
      <c r="AM176" s="19"/>
    </row>
    <row r="177" spans="1:39" ht="15.75" customHeight="1">
      <c r="A177" s="2"/>
      <c r="B177" s="20" t="s">
        <v>419</v>
      </c>
      <c r="C177" s="14" t="s">
        <v>109</v>
      </c>
      <c r="D177" s="14" t="s">
        <v>412</v>
      </c>
      <c r="E177" s="14" t="s">
        <v>417</v>
      </c>
      <c r="F177" s="14">
        <v>16</v>
      </c>
      <c r="G177" s="15">
        <v>7.04</v>
      </c>
      <c r="H177" s="14" t="s">
        <v>414</v>
      </c>
      <c r="I177" s="14" t="s">
        <v>37</v>
      </c>
      <c r="J177" s="14" t="s">
        <v>38</v>
      </c>
      <c r="K177" s="14" t="s">
        <v>40</v>
      </c>
      <c r="L177" s="14" t="s">
        <v>39</v>
      </c>
      <c r="M177" s="14" t="s">
        <v>40</v>
      </c>
      <c r="N177" s="14" t="s">
        <v>40</v>
      </c>
      <c r="O177" s="14" t="s">
        <v>41</v>
      </c>
      <c r="P177" s="14">
        <v>89.69</v>
      </c>
      <c r="Q177" s="14">
        <v>44.65</v>
      </c>
      <c r="R177" s="14">
        <v>57.32</v>
      </c>
      <c r="S177" s="14">
        <v>2</v>
      </c>
      <c r="T177" s="14">
        <v>0</v>
      </c>
      <c r="U177" s="14" t="s">
        <v>42</v>
      </c>
      <c r="V177" s="14" t="s">
        <v>378</v>
      </c>
      <c r="W177" s="14" t="s">
        <v>62</v>
      </c>
      <c r="X177" s="14">
        <v>2</v>
      </c>
      <c r="Y177" s="14" t="s">
        <v>45</v>
      </c>
      <c r="Z177" s="17">
        <v>1.6944444444444444</v>
      </c>
      <c r="AA177" s="14">
        <v>2</v>
      </c>
      <c r="AB177" s="14">
        <v>4</v>
      </c>
      <c r="AC177" s="14">
        <v>0</v>
      </c>
      <c r="AD177" s="17">
        <f>IFERROR(Z177/(AA177*AB177)*AC177*AA177,"")</f>
        <v>0</v>
      </c>
      <c r="AE177" s="17">
        <f>Z177+AD177</f>
        <v>1.6944444444444444</v>
      </c>
      <c r="AF177" s="17"/>
      <c r="AG177" s="14">
        <f>AB177+AC177</f>
        <v>4</v>
      </c>
      <c r="AH177" s="18" t="s">
        <v>415</v>
      </c>
      <c r="AI177" s="19"/>
      <c r="AJ177" s="19"/>
      <c r="AK177" s="19"/>
      <c r="AL177" s="19"/>
      <c r="AM177" s="19"/>
    </row>
    <row r="178" spans="1:39" ht="15.75" customHeight="1">
      <c r="A178" s="2"/>
      <c r="B178" s="20" t="s">
        <v>420</v>
      </c>
      <c r="C178" s="14" t="s">
        <v>421</v>
      </c>
      <c r="D178" s="14" t="s">
        <v>231</v>
      </c>
      <c r="E178" s="14" t="s">
        <v>225</v>
      </c>
      <c r="F178" s="14">
        <v>36</v>
      </c>
      <c r="G178" s="15">
        <v>15.12</v>
      </c>
      <c r="H178" s="14" t="s">
        <v>36</v>
      </c>
      <c r="I178" s="14" t="s">
        <v>37</v>
      </c>
      <c r="J178" s="14" t="s">
        <v>38</v>
      </c>
      <c r="K178" s="14" t="s">
        <v>40</v>
      </c>
      <c r="L178" s="14" t="s">
        <v>39</v>
      </c>
      <c r="M178" s="14" t="s">
        <v>40</v>
      </c>
      <c r="N178" s="14" t="s">
        <v>40</v>
      </c>
      <c r="O178" s="14" t="s">
        <v>100</v>
      </c>
      <c r="P178" s="14">
        <v>68.099999999999994</v>
      </c>
      <c r="Q178" s="14">
        <v>44</v>
      </c>
      <c r="R178" s="14">
        <v>47.4</v>
      </c>
      <c r="S178" s="14">
        <v>1</v>
      </c>
      <c r="T178" s="14">
        <v>0</v>
      </c>
      <c r="U178" s="14" t="s">
        <v>42</v>
      </c>
      <c r="V178" s="14" t="s">
        <v>43</v>
      </c>
      <c r="W178" s="14" t="s">
        <v>44</v>
      </c>
      <c r="X178" s="14">
        <v>3</v>
      </c>
      <c r="Y178" s="14" t="s">
        <v>222</v>
      </c>
      <c r="Z178" s="17">
        <v>3.6145833333333335</v>
      </c>
      <c r="AA178" s="14">
        <v>5</v>
      </c>
      <c r="AB178" s="14">
        <v>4</v>
      </c>
      <c r="AC178" s="14">
        <v>0</v>
      </c>
      <c r="AD178" s="17">
        <f>IFERROR(Z178/(AA178*AB178)*AC178*AA178,"")</f>
        <v>0</v>
      </c>
      <c r="AE178" s="17">
        <f>Z178+AD178</f>
        <v>3.6145833333333335</v>
      </c>
      <c r="AF178" s="17"/>
      <c r="AG178" s="14">
        <f>AB178+AC178</f>
        <v>4</v>
      </c>
      <c r="AH178" s="18"/>
      <c r="AI178" s="19"/>
      <c r="AJ178" s="19"/>
      <c r="AK178" s="19"/>
      <c r="AL178" s="19"/>
      <c r="AM178" s="19"/>
    </row>
    <row r="179" spans="1:39" ht="15.75" customHeight="1">
      <c r="A179" s="2"/>
      <c r="B179" s="20" t="s">
        <v>422</v>
      </c>
      <c r="C179" s="14" t="s">
        <v>47</v>
      </c>
      <c r="D179" s="14" t="s">
        <v>175</v>
      </c>
      <c r="E179" s="14" t="s">
        <v>423</v>
      </c>
      <c r="F179" s="14">
        <v>13</v>
      </c>
      <c r="G179" s="15">
        <v>5.2649999999999997</v>
      </c>
      <c r="H179" s="14" t="s">
        <v>58</v>
      </c>
      <c r="I179" s="14" t="s">
        <v>37</v>
      </c>
      <c r="J179" s="14" t="s">
        <v>38</v>
      </c>
      <c r="K179" s="14" t="s">
        <v>38</v>
      </c>
      <c r="L179" s="14" t="s">
        <v>50</v>
      </c>
      <c r="M179" s="14" t="s">
        <v>38</v>
      </c>
      <c r="N179" s="14" t="s">
        <v>38</v>
      </c>
      <c r="O179" s="14" t="s">
        <v>41</v>
      </c>
      <c r="P179" s="14">
        <v>71.7</v>
      </c>
      <c r="Q179" s="14">
        <v>40</v>
      </c>
      <c r="R179" s="14">
        <v>45</v>
      </c>
      <c r="S179" s="14">
        <v>3</v>
      </c>
      <c r="T179" s="14">
        <v>10</v>
      </c>
      <c r="U179" s="14" t="s">
        <v>42</v>
      </c>
      <c r="V179" s="14" t="s">
        <v>424</v>
      </c>
      <c r="W179" s="14" t="s">
        <v>44</v>
      </c>
      <c r="X179" s="14">
        <v>1</v>
      </c>
      <c r="Y179" s="14" t="s">
        <v>45</v>
      </c>
      <c r="Z179" s="17">
        <v>2.5520833333333335</v>
      </c>
      <c r="AA179" s="14">
        <v>2</v>
      </c>
      <c r="AB179" s="14">
        <v>4</v>
      </c>
      <c r="AC179" s="14">
        <v>0</v>
      </c>
      <c r="AD179" s="17">
        <f>IFERROR(Z179/(AA179*AB179)*AC179*AA179,"")</f>
        <v>0</v>
      </c>
      <c r="AE179" s="17">
        <f>Z179+AD179</f>
        <v>2.5520833333333335</v>
      </c>
      <c r="AF179" s="17"/>
      <c r="AG179" s="14">
        <f>AB179+AC179</f>
        <v>4</v>
      </c>
      <c r="AH179" s="18"/>
      <c r="AI179" s="19"/>
      <c r="AJ179" s="19"/>
      <c r="AK179" s="19"/>
      <c r="AL179" s="19"/>
      <c r="AM179" s="19"/>
    </row>
    <row r="180" spans="1:39" ht="15.75" customHeight="1">
      <c r="A180" s="2"/>
      <c r="B180" s="20" t="s">
        <v>425</v>
      </c>
      <c r="C180" s="14" t="s">
        <v>102</v>
      </c>
      <c r="D180" s="14" t="s">
        <v>34</v>
      </c>
      <c r="E180" s="14" t="s">
        <v>426</v>
      </c>
      <c r="F180" s="14">
        <v>26</v>
      </c>
      <c r="G180" s="15">
        <v>10.53</v>
      </c>
      <c r="H180" s="14" t="s">
        <v>58</v>
      </c>
      <c r="I180" s="14" t="s">
        <v>37</v>
      </c>
      <c r="J180" s="14" t="s">
        <v>38</v>
      </c>
      <c r="K180" s="14" t="s">
        <v>38</v>
      </c>
      <c r="L180" s="14" t="s">
        <v>39</v>
      </c>
      <c r="M180" s="14" t="s">
        <v>40</v>
      </c>
      <c r="N180" s="14" t="s">
        <v>38</v>
      </c>
      <c r="O180" s="14" t="s">
        <v>290</v>
      </c>
      <c r="P180" s="14">
        <v>71.7</v>
      </c>
      <c r="Q180" s="14">
        <v>40</v>
      </c>
      <c r="R180" s="14">
        <v>45</v>
      </c>
      <c r="S180" s="14">
        <v>3</v>
      </c>
      <c r="T180" s="14">
        <v>0</v>
      </c>
      <c r="U180" s="14" t="s">
        <v>42</v>
      </c>
      <c r="V180" s="14" t="s">
        <v>259</v>
      </c>
      <c r="W180" s="14" t="s">
        <v>62</v>
      </c>
      <c r="X180" s="14">
        <v>1</v>
      </c>
      <c r="Y180" s="14" t="s">
        <v>222</v>
      </c>
      <c r="Z180" s="17">
        <v>2.4270833333333335</v>
      </c>
      <c r="AA180" s="14">
        <v>3</v>
      </c>
      <c r="AB180" s="14">
        <v>4</v>
      </c>
      <c r="AC180" s="14">
        <v>0</v>
      </c>
      <c r="AD180" s="17">
        <f>IFERROR(Z180/(AA180*AB180)*AC180*AA180,"")</f>
        <v>0</v>
      </c>
      <c r="AE180" s="17">
        <f>Z180+AD180</f>
        <v>2.4270833333333335</v>
      </c>
      <c r="AF180" s="17"/>
      <c r="AG180" s="14">
        <f>AB180+AC180</f>
        <v>4</v>
      </c>
      <c r="AH180" s="18"/>
      <c r="AI180" s="19"/>
      <c r="AJ180" s="19"/>
      <c r="AK180" s="19"/>
      <c r="AL180" s="19"/>
      <c r="AM180" s="19"/>
    </row>
    <row r="181" spans="1:39" ht="15.75" customHeight="1">
      <c r="A181" s="2"/>
      <c r="B181" s="20" t="s">
        <v>427</v>
      </c>
      <c r="C181" s="14" t="s">
        <v>97</v>
      </c>
      <c r="D181" s="14" t="s">
        <v>326</v>
      </c>
      <c r="E181" s="14" t="s">
        <v>283</v>
      </c>
      <c r="F181" s="14">
        <v>33</v>
      </c>
      <c r="G181" s="15">
        <v>13.365</v>
      </c>
      <c r="H181" s="14" t="s">
        <v>58</v>
      </c>
      <c r="I181" s="14" t="s">
        <v>37</v>
      </c>
      <c r="J181" s="14" t="s">
        <v>38</v>
      </c>
      <c r="K181" s="14" t="s">
        <v>38</v>
      </c>
      <c r="L181" s="14" t="s">
        <v>39</v>
      </c>
      <c r="M181" s="14" t="s">
        <v>40</v>
      </c>
      <c r="N181" s="14" t="s">
        <v>40</v>
      </c>
      <c r="O181" s="14" t="s">
        <v>41</v>
      </c>
      <c r="P181" s="14">
        <v>71.7</v>
      </c>
      <c r="Q181" s="14">
        <v>40</v>
      </c>
      <c r="R181" s="14">
        <v>45</v>
      </c>
      <c r="S181" s="14">
        <v>3</v>
      </c>
      <c r="T181" s="14">
        <v>0</v>
      </c>
      <c r="U181" s="14" t="s">
        <v>42</v>
      </c>
      <c r="V181" s="14" t="s">
        <v>43</v>
      </c>
      <c r="W181" s="14" t="s">
        <v>62</v>
      </c>
      <c r="X181" s="14">
        <v>2</v>
      </c>
      <c r="Y181" s="14" t="s">
        <v>45</v>
      </c>
      <c r="Z181" s="17">
        <v>3.3020833333333335</v>
      </c>
      <c r="AA181" s="14">
        <v>2</v>
      </c>
      <c r="AB181" s="14">
        <v>5</v>
      </c>
      <c r="AC181" s="14">
        <v>0</v>
      </c>
      <c r="AD181" s="17">
        <f>IFERROR(Z181/(AA181*AB181)*AC181*AA181,"")</f>
        <v>0</v>
      </c>
      <c r="AE181" s="17">
        <f>Z181+AD181</f>
        <v>3.3020833333333335</v>
      </c>
      <c r="AF181" s="17"/>
      <c r="AG181" s="14">
        <f>AB181+AC181</f>
        <v>5</v>
      </c>
      <c r="AH181" s="18"/>
      <c r="AI181" s="19"/>
      <c r="AJ181" s="19"/>
      <c r="AK181" s="19"/>
      <c r="AL181" s="19"/>
      <c r="AM181" s="19"/>
    </row>
    <row r="182" spans="1:39" ht="15.75" customHeight="1">
      <c r="A182" s="2"/>
      <c r="B182" s="20" t="s">
        <v>428</v>
      </c>
      <c r="C182" s="14" t="s">
        <v>205</v>
      </c>
      <c r="D182" s="14">
        <v>18.399999999999999</v>
      </c>
      <c r="E182" s="14" t="s">
        <v>35</v>
      </c>
      <c r="F182" s="14">
        <v>20</v>
      </c>
      <c r="G182" s="15">
        <v>8.1</v>
      </c>
      <c r="H182" s="14" t="s">
        <v>58</v>
      </c>
      <c r="I182" s="14" t="s">
        <v>37</v>
      </c>
      <c r="J182" s="14" t="s">
        <v>38</v>
      </c>
      <c r="K182" s="14" t="s">
        <v>38</v>
      </c>
      <c r="L182" s="14" t="s">
        <v>39</v>
      </c>
      <c r="M182" s="14" t="s">
        <v>40</v>
      </c>
      <c r="N182" s="14" t="s">
        <v>38</v>
      </c>
      <c r="O182" s="14" t="s">
        <v>41</v>
      </c>
      <c r="P182" s="14">
        <v>71.7</v>
      </c>
      <c r="Q182" s="14">
        <v>40</v>
      </c>
      <c r="R182" s="14">
        <v>45</v>
      </c>
      <c r="S182" s="14">
        <v>1</v>
      </c>
      <c r="T182" s="14">
        <v>0</v>
      </c>
      <c r="U182" s="14" t="s">
        <v>42</v>
      </c>
      <c r="V182" s="14" t="s">
        <v>424</v>
      </c>
      <c r="W182" s="14" t="s">
        <v>44</v>
      </c>
      <c r="X182" s="14">
        <v>1</v>
      </c>
      <c r="Y182" s="14" t="s">
        <v>222</v>
      </c>
      <c r="Z182" s="17">
        <v>1.3958333333333333</v>
      </c>
      <c r="AA182" s="14">
        <v>1</v>
      </c>
      <c r="AB182" s="14">
        <v>4</v>
      </c>
      <c r="AC182" s="14">
        <v>0</v>
      </c>
      <c r="AD182" s="17">
        <f>IFERROR(Z182/(AA182*AB182)*AC182*AA182,"")</f>
        <v>0</v>
      </c>
      <c r="AE182" s="17">
        <f>Z182+AD182</f>
        <v>1.3958333333333333</v>
      </c>
      <c r="AF182" s="17"/>
      <c r="AG182" s="14">
        <f>AB182+AC182</f>
        <v>4</v>
      </c>
      <c r="AH182" s="18"/>
      <c r="AI182" s="19"/>
      <c r="AJ182" s="19"/>
      <c r="AK182" s="19"/>
      <c r="AL182" s="19"/>
      <c r="AM182" s="19"/>
    </row>
    <row r="183" spans="1:39" ht="15.75" customHeight="1">
      <c r="A183" s="2"/>
      <c r="B183" s="20" t="s">
        <v>429</v>
      </c>
      <c r="C183" s="14" t="s">
        <v>33</v>
      </c>
      <c r="D183" s="14" t="s">
        <v>430</v>
      </c>
      <c r="E183" s="14" t="s">
        <v>35</v>
      </c>
      <c r="F183" s="14">
        <v>26</v>
      </c>
      <c r="G183" s="15">
        <v>10.53</v>
      </c>
      <c r="H183" s="14" t="s">
        <v>58</v>
      </c>
      <c r="I183" s="14" t="s">
        <v>37</v>
      </c>
      <c r="J183" s="14" t="s">
        <v>38</v>
      </c>
      <c r="K183" s="14" t="s">
        <v>38</v>
      </c>
      <c r="L183" s="14" t="s">
        <v>39</v>
      </c>
      <c r="M183" s="14" t="s">
        <v>40</v>
      </c>
      <c r="N183" s="14" t="s">
        <v>40</v>
      </c>
      <c r="O183" s="14" t="s">
        <v>103</v>
      </c>
      <c r="P183" s="14">
        <v>71.7</v>
      </c>
      <c r="Q183" s="14">
        <v>40</v>
      </c>
      <c r="R183" s="14">
        <v>45</v>
      </c>
      <c r="S183" s="14">
        <v>1</v>
      </c>
      <c r="T183" s="14">
        <v>0</v>
      </c>
      <c r="U183" s="14" t="s">
        <v>42</v>
      </c>
      <c r="V183" s="14" t="s">
        <v>43</v>
      </c>
      <c r="W183" s="14" t="s">
        <v>44</v>
      </c>
      <c r="X183" s="14">
        <v>2</v>
      </c>
      <c r="Y183" s="14" t="s">
        <v>45</v>
      </c>
      <c r="Z183" s="17">
        <v>2.9375</v>
      </c>
      <c r="AA183" s="14">
        <v>3</v>
      </c>
      <c r="AB183" s="14">
        <v>3</v>
      </c>
      <c r="AC183" s="14">
        <v>0</v>
      </c>
      <c r="AD183" s="17">
        <f>IFERROR(Z183/(AA183*AB183)*AC183*AA183,"")</f>
        <v>0</v>
      </c>
      <c r="AE183" s="17">
        <f>Z183+AD183</f>
        <v>2.9375</v>
      </c>
      <c r="AF183" s="17"/>
      <c r="AG183" s="14">
        <f>AB183+AC183</f>
        <v>3</v>
      </c>
      <c r="AH183" s="18" t="s">
        <v>431</v>
      </c>
      <c r="AI183" s="19"/>
      <c r="AJ183" s="19"/>
      <c r="AK183" s="19"/>
      <c r="AL183" s="19"/>
      <c r="AM183" s="19"/>
    </row>
    <row r="184" spans="1:39" ht="15.75" customHeight="1">
      <c r="A184" s="2"/>
      <c r="B184" s="20" t="s">
        <v>432</v>
      </c>
      <c r="C184" s="14" t="s">
        <v>109</v>
      </c>
      <c r="D184" s="14" t="s">
        <v>433</v>
      </c>
      <c r="E184" s="14" t="s">
        <v>232</v>
      </c>
      <c r="F184" s="14">
        <v>25</v>
      </c>
      <c r="G184" s="15">
        <v>10</v>
      </c>
      <c r="H184" s="14" t="s">
        <v>58</v>
      </c>
      <c r="I184" s="14" t="s">
        <v>37</v>
      </c>
      <c r="J184" s="14" t="s">
        <v>38</v>
      </c>
      <c r="K184" s="14" t="s">
        <v>40</v>
      </c>
      <c r="L184" s="14" t="s">
        <v>39</v>
      </c>
      <c r="M184" s="14" t="s">
        <v>40</v>
      </c>
      <c r="N184" s="14" t="s">
        <v>38</v>
      </c>
      <c r="O184" s="14" t="s">
        <v>290</v>
      </c>
      <c r="P184" s="14">
        <v>74.8</v>
      </c>
      <c r="Q184" s="14">
        <v>40.9</v>
      </c>
      <c r="R184" s="14">
        <v>48</v>
      </c>
      <c r="S184" s="14">
        <v>4</v>
      </c>
      <c r="T184" s="14">
        <v>0</v>
      </c>
      <c r="U184" s="14" t="s">
        <v>42</v>
      </c>
      <c r="V184" s="14" t="s">
        <v>67</v>
      </c>
      <c r="W184" s="14" t="s">
        <v>62</v>
      </c>
      <c r="X184" s="14">
        <v>2</v>
      </c>
      <c r="Y184" s="14" t="s">
        <v>45</v>
      </c>
      <c r="Z184" s="17">
        <v>2.59375</v>
      </c>
      <c r="AA184" s="14">
        <v>2</v>
      </c>
      <c r="AB184" s="14">
        <v>4</v>
      </c>
      <c r="AC184" s="14">
        <v>0</v>
      </c>
      <c r="AD184" s="17">
        <f>IFERROR(Z184/(AA184*AB184)*AC184*AA184,"")</f>
        <v>0</v>
      </c>
      <c r="AE184" s="17">
        <f>Z184+AD184</f>
        <v>2.59375</v>
      </c>
      <c r="AF184" s="17"/>
      <c r="AG184" s="14">
        <f>AB184+AC184</f>
        <v>4</v>
      </c>
      <c r="AH184" s="18"/>
      <c r="AI184" s="19"/>
      <c r="AJ184" s="19"/>
      <c r="AK184" s="19"/>
      <c r="AL184" s="19"/>
      <c r="AM184" s="19"/>
    </row>
    <row r="185" spans="1:39" ht="15.75" customHeight="1">
      <c r="A185" s="2"/>
      <c r="B185" s="20" t="s">
        <v>434</v>
      </c>
      <c r="C185" s="14" t="s">
        <v>435</v>
      </c>
      <c r="D185" s="14" t="s">
        <v>78</v>
      </c>
      <c r="E185" s="14" t="s">
        <v>436</v>
      </c>
      <c r="F185" s="14">
        <v>20</v>
      </c>
      <c r="G185" s="15">
        <v>8</v>
      </c>
      <c r="H185" s="14" t="s">
        <v>58</v>
      </c>
      <c r="I185" s="14" t="s">
        <v>37</v>
      </c>
      <c r="J185" s="14" t="s">
        <v>38</v>
      </c>
      <c r="K185" s="14" t="s">
        <v>38</v>
      </c>
      <c r="L185" s="14" t="s">
        <v>39</v>
      </c>
      <c r="M185" s="14" t="s">
        <v>40</v>
      </c>
      <c r="N185" s="14" t="s">
        <v>40</v>
      </c>
      <c r="O185" s="14" t="s">
        <v>41</v>
      </c>
      <c r="P185" s="14">
        <v>74.8</v>
      </c>
      <c r="Q185" s="14">
        <v>40.9</v>
      </c>
      <c r="R185" s="14">
        <v>48</v>
      </c>
      <c r="S185" s="14">
        <v>2</v>
      </c>
      <c r="T185" s="14">
        <v>0</v>
      </c>
      <c r="U185" s="14" t="s">
        <v>42</v>
      </c>
      <c r="V185" s="14" t="s">
        <v>43</v>
      </c>
      <c r="W185" s="14" t="s">
        <v>44</v>
      </c>
      <c r="X185" s="14">
        <v>2</v>
      </c>
      <c r="Y185" s="14" t="s">
        <v>222</v>
      </c>
      <c r="Z185" s="17">
        <v>3.2604166666666665</v>
      </c>
      <c r="AA185" s="14">
        <v>3</v>
      </c>
      <c r="AB185" s="14">
        <v>4</v>
      </c>
      <c r="AC185" s="14">
        <v>1</v>
      </c>
      <c r="AD185" s="17">
        <f>IFERROR(Z185/(AA185*AB185)*AC185*AA185,"")</f>
        <v>0.81510416666666674</v>
      </c>
      <c r="AE185" s="17">
        <f>Z185+AD185</f>
        <v>4.075520833333333</v>
      </c>
      <c r="AF185" s="17"/>
      <c r="AG185" s="14">
        <f>AB185+AC185</f>
        <v>5</v>
      </c>
      <c r="AH185" s="18"/>
      <c r="AI185" s="19"/>
      <c r="AJ185" s="19"/>
      <c r="AK185" s="19"/>
      <c r="AL185" s="19"/>
      <c r="AM185" s="19"/>
    </row>
    <row r="186" spans="1:39" ht="15.75" customHeight="1">
      <c r="A186" s="2"/>
      <c r="B186" s="20" t="s">
        <v>437</v>
      </c>
      <c r="C186" s="14" t="s">
        <v>198</v>
      </c>
      <c r="D186" s="14" t="s">
        <v>48</v>
      </c>
      <c r="E186" s="14" t="s">
        <v>84</v>
      </c>
      <c r="F186" s="14">
        <v>18</v>
      </c>
      <c r="G186" s="15">
        <v>7.2</v>
      </c>
      <c r="H186" s="14" t="s">
        <v>58</v>
      </c>
      <c r="I186" s="14" t="s">
        <v>37</v>
      </c>
      <c r="J186" s="14" t="s">
        <v>38</v>
      </c>
      <c r="K186" s="14" t="s">
        <v>40</v>
      </c>
      <c r="L186" s="14" t="s">
        <v>50</v>
      </c>
      <c r="M186" s="14" t="s">
        <v>40</v>
      </c>
      <c r="N186" s="14" t="s">
        <v>38</v>
      </c>
      <c r="O186" s="14" t="s">
        <v>41</v>
      </c>
      <c r="P186" s="14">
        <v>74.8</v>
      </c>
      <c r="Q186" s="14">
        <v>40.9</v>
      </c>
      <c r="R186" s="14">
        <v>48</v>
      </c>
      <c r="S186" s="14">
        <v>1</v>
      </c>
      <c r="T186" s="14">
        <v>0</v>
      </c>
      <c r="U186" s="14" t="s">
        <v>42</v>
      </c>
      <c r="V186" s="14" t="s">
        <v>378</v>
      </c>
      <c r="W186" s="14" t="s">
        <v>44</v>
      </c>
      <c r="X186" s="14">
        <v>1</v>
      </c>
      <c r="Y186" s="14" t="s">
        <v>45</v>
      </c>
      <c r="Z186" s="17">
        <v>1.625</v>
      </c>
      <c r="AA186" s="14">
        <v>2</v>
      </c>
      <c r="AB186" s="14">
        <v>3</v>
      </c>
      <c r="AC186" s="14">
        <v>0</v>
      </c>
      <c r="AD186" s="17">
        <f>IFERROR(Z186/(AA186*AB186)*AC186*AA186,"")</f>
        <v>0</v>
      </c>
      <c r="AE186" s="17">
        <f>Z186+AD186</f>
        <v>1.625</v>
      </c>
      <c r="AF186" s="17"/>
      <c r="AG186" s="14">
        <f>AB186+AC186</f>
        <v>3</v>
      </c>
      <c r="AH186" s="18"/>
      <c r="AI186" s="19"/>
      <c r="AJ186" s="19"/>
      <c r="AK186" s="19"/>
      <c r="AL186" s="19"/>
      <c r="AM186" s="19"/>
    </row>
    <row r="187" spans="1:39" ht="15.75" customHeight="1">
      <c r="A187" s="2"/>
      <c r="B187" s="20" t="s">
        <v>438</v>
      </c>
      <c r="C187" s="14" t="s">
        <v>435</v>
      </c>
      <c r="D187" s="14" t="s">
        <v>73</v>
      </c>
      <c r="E187" s="14" t="s">
        <v>79</v>
      </c>
      <c r="F187" s="14">
        <v>47</v>
      </c>
      <c r="G187" s="15">
        <v>18.8</v>
      </c>
      <c r="H187" s="14" t="s">
        <v>58</v>
      </c>
      <c r="I187" s="14" t="s">
        <v>37</v>
      </c>
      <c r="J187" s="14" t="s">
        <v>40</v>
      </c>
      <c r="K187" s="14" t="s">
        <v>40</v>
      </c>
      <c r="L187" s="14" t="s">
        <v>39</v>
      </c>
      <c r="M187" s="14" t="s">
        <v>40</v>
      </c>
      <c r="N187" s="14" t="s">
        <v>40</v>
      </c>
      <c r="O187" s="14" t="s">
        <v>100</v>
      </c>
      <c r="P187" s="14">
        <v>74.8</v>
      </c>
      <c r="Q187" s="14">
        <v>40.9</v>
      </c>
      <c r="R187" s="14">
        <v>48</v>
      </c>
      <c r="S187" s="14">
        <v>1</v>
      </c>
      <c r="T187" s="14">
        <v>0</v>
      </c>
      <c r="U187" s="14" t="s">
        <v>112</v>
      </c>
      <c r="V187" s="14" t="s">
        <v>113</v>
      </c>
      <c r="W187" s="14" t="s">
        <v>44</v>
      </c>
      <c r="X187" s="14">
        <v>1</v>
      </c>
      <c r="Y187" s="14" t="s">
        <v>45</v>
      </c>
      <c r="Z187" s="17">
        <v>2.2291666666666665</v>
      </c>
      <c r="AA187" s="14">
        <v>2</v>
      </c>
      <c r="AB187" s="14">
        <v>3</v>
      </c>
      <c r="AC187" s="14">
        <v>0</v>
      </c>
      <c r="AD187" s="17">
        <f>IFERROR(Z187/(AA187*AB187)*AC187*AA187,"")</f>
        <v>0</v>
      </c>
      <c r="AE187" s="17">
        <f>Z187+AD187</f>
        <v>2.2291666666666665</v>
      </c>
      <c r="AF187" s="17"/>
      <c r="AG187" s="14">
        <f>AB187+AC187</f>
        <v>3</v>
      </c>
      <c r="AH187" s="18"/>
      <c r="AI187" s="19"/>
      <c r="AJ187" s="19"/>
      <c r="AK187" s="19"/>
      <c r="AL187" s="19"/>
      <c r="AM187" s="19"/>
    </row>
    <row r="188" spans="1:39" ht="15.75" customHeight="1">
      <c r="A188" s="2"/>
      <c r="B188" s="20" t="s">
        <v>439</v>
      </c>
      <c r="C188" s="14" t="s">
        <v>205</v>
      </c>
      <c r="D188" s="14" t="s">
        <v>326</v>
      </c>
      <c r="E188" s="14" t="s">
        <v>206</v>
      </c>
      <c r="F188" s="14">
        <v>13</v>
      </c>
      <c r="G188" s="15">
        <v>5.2</v>
      </c>
      <c r="H188" s="14" t="s">
        <v>58</v>
      </c>
      <c r="I188" s="14" t="s">
        <v>37</v>
      </c>
      <c r="J188" s="14" t="s">
        <v>38</v>
      </c>
      <c r="K188" s="14" t="s">
        <v>38</v>
      </c>
      <c r="L188" s="14" t="s">
        <v>39</v>
      </c>
      <c r="M188" s="14" t="s">
        <v>40</v>
      </c>
      <c r="N188" s="14" t="s">
        <v>38</v>
      </c>
      <c r="O188" s="14" t="s">
        <v>290</v>
      </c>
      <c r="P188" s="14">
        <v>74.8</v>
      </c>
      <c r="Q188" s="14">
        <v>40.9</v>
      </c>
      <c r="R188" s="14">
        <v>48</v>
      </c>
      <c r="S188" s="14">
        <v>2</v>
      </c>
      <c r="T188" s="14">
        <v>0</v>
      </c>
      <c r="U188" s="14" t="s">
        <v>42</v>
      </c>
      <c r="V188" s="14" t="s">
        <v>43</v>
      </c>
      <c r="W188" s="14" t="s">
        <v>44</v>
      </c>
      <c r="X188" s="14">
        <v>1</v>
      </c>
      <c r="Y188" s="14" t="s">
        <v>45</v>
      </c>
      <c r="Z188" s="17">
        <v>1</v>
      </c>
      <c r="AA188" s="14">
        <v>1</v>
      </c>
      <c r="AB188" s="14">
        <v>3</v>
      </c>
      <c r="AC188" s="14">
        <v>0</v>
      </c>
      <c r="AD188" s="17">
        <f>IFERROR(Z188/(AA188*AB188)*AC188*AA188,"")</f>
        <v>0</v>
      </c>
      <c r="AE188" s="17">
        <f>Z188+AD188</f>
        <v>1</v>
      </c>
      <c r="AF188" s="17"/>
      <c r="AG188" s="14">
        <f>AB188+AC188</f>
        <v>3</v>
      </c>
      <c r="AH188" s="18"/>
      <c r="AI188" s="19"/>
      <c r="AJ188" s="19"/>
      <c r="AK188" s="19"/>
      <c r="AL188" s="19"/>
      <c r="AM188" s="19"/>
    </row>
    <row r="189" spans="1:39" ht="15.75" customHeight="1">
      <c r="A189" s="2"/>
      <c r="B189" s="20" t="s">
        <v>440</v>
      </c>
      <c r="C189" s="14" t="s">
        <v>158</v>
      </c>
      <c r="D189" s="14" t="s">
        <v>70</v>
      </c>
      <c r="E189" s="14" t="s">
        <v>441</v>
      </c>
      <c r="F189" s="14">
        <v>12</v>
      </c>
      <c r="G189" s="15">
        <v>4.8600000000000003</v>
      </c>
      <c r="H189" s="14" t="s">
        <v>58</v>
      </c>
      <c r="I189" s="14" t="s">
        <v>37</v>
      </c>
      <c r="J189" s="14" t="s">
        <v>38</v>
      </c>
      <c r="K189" s="14" t="s">
        <v>40</v>
      </c>
      <c r="L189" s="14" t="s">
        <v>39</v>
      </c>
      <c r="M189" s="14" t="s">
        <v>40</v>
      </c>
      <c r="N189" s="14" t="s">
        <v>38</v>
      </c>
      <c r="O189" s="14" t="s">
        <v>41</v>
      </c>
      <c r="P189" s="14">
        <v>71.7</v>
      </c>
      <c r="Q189" s="14">
        <v>40</v>
      </c>
      <c r="R189" s="14">
        <v>45</v>
      </c>
      <c r="S189" s="14">
        <v>2</v>
      </c>
      <c r="T189" s="14">
        <v>0</v>
      </c>
      <c r="U189" s="14" t="s">
        <v>42</v>
      </c>
      <c r="V189" s="14" t="s">
        <v>378</v>
      </c>
      <c r="W189" s="14" t="s">
        <v>44</v>
      </c>
      <c r="X189" s="14">
        <v>1</v>
      </c>
      <c r="Y189" s="14" t="s">
        <v>45</v>
      </c>
      <c r="Z189" s="17">
        <v>1.5833333333333333</v>
      </c>
      <c r="AA189" s="14">
        <v>2</v>
      </c>
      <c r="AB189" s="14">
        <v>4</v>
      </c>
      <c r="AC189" s="14">
        <v>0</v>
      </c>
      <c r="AD189" s="17">
        <f>IFERROR(Z189/(AA189*AB189)*AC189*AA189,"")</f>
        <v>0</v>
      </c>
      <c r="AE189" s="17">
        <f>Z189+AD189</f>
        <v>1.5833333333333333</v>
      </c>
      <c r="AF189" s="17"/>
      <c r="AG189" s="14">
        <f>AB189+AC189</f>
        <v>4</v>
      </c>
      <c r="AH189" s="18"/>
      <c r="AI189" s="19"/>
      <c r="AJ189" s="19"/>
      <c r="AK189" s="19"/>
      <c r="AL189" s="19"/>
      <c r="AM189" s="19"/>
    </row>
    <row r="190" spans="1:39" ht="15.75" customHeight="1">
      <c r="A190" s="2"/>
      <c r="B190" s="20" t="s">
        <v>442</v>
      </c>
      <c r="C190" s="14" t="s">
        <v>158</v>
      </c>
      <c r="D190" s="14" t="s">
        <v>70</v>
      </c>
      <c r="E190" s="14" t="s">
        <v>357</v>
      </c>
      <c r="F190" s="14">
        <v>12</v>
      </c>
      <c r="G190" s="15">
        <v>4.8600000000000003</v>
      </c>
      <c r="H190" s="14" t="s">
        <v>58</v>
      </c>
      <c r="I190" s="14" t="s">
        <v>37</v>
      </c>
      <c r="J190" s="14" t="s">
        <v>38</v>
      </c>
      <c r="K190" s="14" t="s">
        <v>40</v>
      </c>
      <c r="L190" s="14" t="s">
        <v>39</v>
      </c>
      <c r="M190" s="14" t="s">
        <v>40</v>
      </c>
      <c r="N190" s="14" t="s">
        <v>38</v>
      </c>
      <c r="O190" s="14" t="s">
        <v>41</v>
      </c>
      <c r="P190" s="14">
        <v>71.7</v>
      </c>
      <c r="Q190" s="14">
        <v>40</v>
      </c>
      <c r="R190" s="14">
        <v>45</v>
      </c>
      <c r="S190" s="14">
        <v>2</v>
      </c>
      <c r="T190" s="14">
        <v>0</v>
      </c>
      <c r="U190" s="14" t="s">
        <v>42</v>
      </c>
      <c r="V190" s="14" t="s">
        <v>43</v>
      </c>
      <c r="W190" s="14" t="s">
        <v>44</v>
      </c>
      <c r="X190" s="14">
        <v>1</v>
      </c>
      <c r="Y190" s="14" t="s">
        <v>45</v>
      </c>
      <c r="Z190" s="17">
        <v>1.0520833333333333</v>
      </c>
      <c r="AA190" s="14">
        <v>1</v>
      </c>
      <c r="AB190" s="14">
        <v>4</v>
      </c>
      <c r="AC190" s="14">
        <v>0</v>
      </c>
      <c r="AD190" s="17">
        <f>IFERROR(Z190/(AA190*AB190)*AC190*AA190,"")</f>
        <v>0</v>
      </c>
      <c r="AE190" s="17">
        <f>Z190+AD190</f>
        <v>1.0520833333333333</v>
      </c>
      <c r="AF190" s="17"/>
      <c r="AG190" s="14">
        <f>AB190+AC190</f>
        <v>4</v>
      </c>
      <c r="AH190" s="18"/>
      <c r="AI190" s="19"/>
      <c r="AJ190" s="19"/>
      <c r="AK190" s="19"/>
      <c r="AL190" s="19"/>
      <c r="AM190" s="19"/>
    </row>
    <row r="191" spans="1:39" ht="15.75" customHeight="1">
      <c r="A191" s="2"/>
      <c r="B191" s="20" t="s">
        <v>443</v>
      </c>
      <c r="C191" s="14" t="s">
        <v>158</v>
      </c>
      <c r="D191" s="14" t="s">
        <v>70</v>
      </c>
      <c r="E191" s="14" t="s">
        <v>441</v>
      </c>
      <c r="F191" s="14">
        <v>12</v>
      </c>
      <c r="G191" s="15">
        <v>4.8600000000000003</v>
      </c>
      <c r="H191" s="14" t="s">
        <v>58</v>
      </c>
      <c r="I191" s="14" t="s">
        <v>37</v>
      </c>
      <c r="J191" s="14" t="s">
        <v>38</v>
      </c>
      <c r="K191" s="14" t="s">
        <v>40</v>
      </c>
      <c r="L191" s="14" t="s">
        <v>39</v>
      </c>
      <c r="M191" s="14" t="s">
        <v>40</v>
      </c>
      <c r="N191" s="14" t="s">
        <v>38</v>
      </c>
      <c r="O191" s="14" t="s">
        <v>41</v>
      </c>
      <c r="P191" s="14">
        <v>71.7</v>
      </c>
      <c r="Q191" s="14">
        <v>40</v>
      </c>
      <c r="R191" s="14">
        <v>45</v>
      </c>
      <c r="S191" s="14">
        <v>3</v>
      </c>
      <c r="T191" s="14">
        <v>0</v>
      </c>
      <c r="U191" s="14" t="s">
        <v>42</v>
      </c>
      <c r="V191" s="14" t="s">
        <v>378</v>
      </c>
      <c r="W191" s="14" t="s">
        <v>44</v>
      </c>
      <c r="X191" s="14">
        <v>1</v>
      </c>
      <c r="Y191" s="14" t="s">
        <v>222</v>
      </c>
      <c r="Z191" s="17">
        <v>1.7083333333333333</v>
      </c>
      <c r="AA191" s="14">
        <v>2</v>
      </c>
      <c r="AB191" s="14">
        <v>3</v>
      </c>
      <c r="AC191" s="14">
        <v>0</v>
      </c>
      <c r="AD191" s="17">
        <f>IFERROR(Z191/(AA191*AB191)*AC191*AA191,"")</f>
        <v>0</v>
      </c>
      <c r="AE191" s="17">
        <f>Z191+AD191</f>
        <v>1.7083333333333333</v>
      </c>
      <c r="AF191" s="17"/>
      <c r="AG191" s="14">
        <f>AB191+AC191</f>
        <v>3</v>
      </c>
      <c r="AH191" s="18"/>
      <c r="AI191" s="19"/>
      <c r="AJ191" s="19"/>
      <c r="AK191" s="19"/>
      <c r="AL191" s="19"/>
      <c r="AM191" s="19"/>
    </row>
    <row r="192" spans="1:39" ht="15.75" customHeight="1">
      <c r="A192" s="2"/>
      <c r="B192" s="20" t="s">
        <v>444</v>
      </c>
      <c r="C192" s="14" t="s">
        <v>77</v>
      </c>
      <c r="D192" s="14" t="s">
        <v>159</v>
      </c>
      <c r="E192" s="14" t="s">
        <v>445</v>
      </c>
      <c r="F192" s="14">
        <v>31</v>
      </c>
      <c r="G192" s="15">
        <v>12.555</v>
      </c>
      <c r="H192" s="14" t="s">
        <v>58</v>
      </c>
      <c r="I192" s="14" t="s">
        <v>37</v>
      </c>
      <c r="J192" s="14" t="s">
        <v>38</v>
      </c>
      <c r="K192" s="14" t="s">
        <v>38</v>
      </c>
      <c r="L192" s="14" t="s">
        <v>39</v>
      </c>
      <c r="M192" s="14" t="s">
        <v>40</v>
      </c>
      <c r="N192" s="14" t="s">
        <v>38</v>
      </c>
      <c r="O192" s="14" t="s">
        <v>41</v>
      </c>
      <c r="P192" s="14">
        <v>71.7</v>
      </c>
      <c r="Q192" s="14">
        <v>40</v>
      </c>
      <c r="R192" s="14">
        <v>45</v>
      </c>
      <c r="S192" s="14">
        <v>3</v>
      </c>
      <c r="T192" s="14">
        <v>0</v>
      </c>
      <c r="U192" s="14" t="s">
        <v>42</v>
      </c>
      <c r="V192" s="14" t="s">
        <v>43</v>
      </c>
      <c r="W192" s="14" t="s">
        <v>44</v>
      </c>
      <c r="X192" s="14">
        <v>2</v>
      </c>
      <c r="Y192" s="14" t="s">
        <v>45</v>
      </c>
      <c r="Z192" s="17">
        <v>4.21875</v>
      </c>
      <c r="AA192" s="14">
        <v>6</v>
      </c>
      <c r="AB192" s="14">
        <v>4</v>
      </c>
      <c r="AC192" s="14">
        <v>0</v>
      </c>
      <c r="AD192" s="17">
        <f>IFERROR(Z192/(AA192*AB192)*AC192*AA192,"")</f>
        <v>0</v>
      </c>
      <c r="AE192" s="17">
        <f>Z192+AD192</f>
        <v>4.21875</v>
      </c>
      <c r="AF192" s="17"/>
      <c r="AG192" s="14">
        <f>AB192+AC192</f>
        <v>4</v>
      </c>
      <c r="AH192" s="18" t="s">
        <v>446</v>
      </c>
      <c r="AI192" s="19"/>
      <c r="AJ192" s="19"/>
      <c r="AK192" s="19"/>
      <c r="AL192" s="19"/>
      <c r="AM192" s="19"/>
    </row>
    <row r="193" spans="1:39" ht="15.75" customHeight="1">
      <c r="A193" s="2"/>
      <c r="B193" s="20" t="s">
        <v>447</v>
      </c>
      <c r="C193" s="14" t="s">
        <v>69</v>
      </c>
      <c r="D193" s="14" t="s">
        <v>326</v>
      </c>
      <c r="E193" s="14" t="s">
        <v>448</v>
      </c>
      <c r="F193" s="14">
        <v>14</v>
      </c>
      <c r="G193" s="15">
        <v>5.6</v>
      </c>
      <c r="H193" s="14" t="s">
        <v>58</v>
      </c>
      <c r="I193" s="14" t="s">
        <v>37</v>
      </c>
      <c r="J193" s="14" t="s">
        <v>38</v>
      </c>
      <c r="K193" s="14" t="s">
        <v>38</v>
      </c>
      <c r="L193" s="14" t="s">
        <v>39</v>
      </c>
      <c r="M193" s="14" t="s">
        <v>40</v>
      </c>
      <c r="N193" s="14" t="s">
        <v>40</v>
      </c>
      <c r="O193" s="14" t="s">
        <v>59</v>
      </c>
      <c r="P193" s="14">
        <v>74.8</v>
      </c>
      <c r="Q193" s="14">
        <v>40.9</v>
      </c>
      <c r="R193" s="14">
        <v>48</v>
      </c>
      <c r="S193" s="14">
        <v>1</v>
      </c>
      <c r="T193" s="14">
        <v>0</v>
      </c>
      <c r="U193" s="14" t="s">
        <v>42</v>
      </c>
      <c r="V193" s="14" t="s">
        <v>378</v>
      </c>
      <c r="W193" s="14" t="s">
        <v>44</v>
      </c>
      <c r="X193" s="14">
        <v>1</v>
      </c>
      <c r="Y193" s="14" t="s">
        <v>45</v>
      </c>
      <c r="Z193" s="17">
        <v>1.5520833333333333</v>
      </c>
      <c r="AA193" s="14">
        <v>2</v>
      </c>
      <c r="AB193" s="14">
        <v>4</v>
      </c>
      <c r="AC193" s="14">
        <v>0</v>
      </c>
      <c r="AD193" s="17">
        <f>IFERROR(Z193/(AA193*AB193)*AC193*AA193,"")</f>
        <v>0</v>
      </c>
      <c r="AE193" s="17">
        <f>Z193+AD193</f>
        <v>1.5520833333333333</v>
      </c>
      <c r="AF193" s="17"/>
      <c r="AG193" s="14">
        <f>AB193+AC193</f>
        <v>4</v>
      </c>
      <c r="AH193" s="18"/>
      <c r="AI193" s="19"/>
      <c r="AJ193" s="19"/>
      <c r="AK193" s="19"/>
      <c r="AL193" s="19"/>
      <c r="AM193" s="19"/>
    </row>
    <row r="194" spans="1:39" ht="15.75" customHeight="1">
      <c r="A194" s="2"/>
      <c r="B194" s="20" t="s">
        <v>449</v>
      </c>
      <c r="C194" s="14" t="s">
        <v>285</v>
      </c>
      <c r="D194" s="14">
        <v>20</v>
      </c>
      <c r="E194" s="14" t="s">
        <v>450</v>
      </c>
      <c r="F194" s="14">
        <v>34</v>
      </c>
      <c r="G194" s="15">
        <v>13.77</v>
      </c>
      <c r="H194" s="14" t="s">
        <v>58</v>
      </c>
      <c r="I194" s="14" t="s">
        <v>37</v>
      </c>
      <c r="J194" s="14" t="s">
        <v>38</v>
      </c>
      <c r="K194" s="14" t="s">
        <v>38</v>
      </c>
      <c r="L194" s="14" t="s">
        <v>39</v>
      </c>
      <c r="M194" s="14" t="s">
        <v>40</v>
      </c>
      <c r="N194" s="14" t="s">
        <v>40</v>
      </c>
      <c r="O194" s="14" t="s">
        <v>41</v>
      </c>
      <c r="P194" s="14">
        <v>71.7</v>
      </c>
      <c r="Q194" s="14">
        <v>40</v>
      </c>
      <c r="R194" s="14">
        <v>45</v>
      </c>
      <c r="S194" s="14">
        <v>4</v>
      </c>
      <c r="T194" s="14">
        <v>0</v>
      </c>
      <c r="U194" s="14" t="s">
        <v>42</v>
      </c>
      <c r="V194" s="14" t="s">
        <v>43</v>
      </c>
      <c r="W194" s="14" t="s">
        <v>44</v>
      </c>
      <c r="X194" s="14">
        <v>2</v>
      </c>
      <c r="Y194" s="14" t="s">
        <v>45</v>
      </c>
      <c r="Z194" s="17">
        <v>3.6041666666666665</v>
      </c>
      <c r="AA194" s="14">
        <v>4</v>
      </c>
      <c r="AB194" s="14">
        <v>5</v>
      </c>
      <c r="AC194" s="14">
        <v>0</v>
      </c>
      <c r="AD194" s="17">
        <f>IFERROR(Z194/(AA194*AB194)*AC194*AA194,"")</f>
        <v>0</v>
      </c>
      <c r="AE194" s="17">
        <f>Z194+AD194</f>
        <v>3.6041666666666665</v>
      </c>
      <c r="AF194" s="17"/>
      <c r="AG194" s="14">
        <f>AB194+AC194</f>
        <v>5</v>
      </c>
      <c r="AH194" s="18"/>
      <c r="AI194" s="19"/>
      <c r="AJ194" s="19"/>
      <c r="AK194" s="19"/>
      <c r="AL194" s="19"/>
      <c r="AM194" s="19"/>
    </row>
    <row r="195" spans="1:39" ht="15.75" customHeight="1">
      <c r="A195" s="2"/>
      <c r="B195" s="20" t="s">
        <v>451</v>
      </c>
      <c r="C195" s="14" t="s">
        <v>149</v>
      </c>
      <c r="D195" s="14" t="s">
        <v>78</v>
      </c>
      <c r="E195" s="14" t="s">
        <v>111</v>
      </c>
      <c r="F195" s="14">
        <v>24</v>
      </c>
      <c r="G195" s="15">
        <v>9.6</v>
      </c>
      <c r="H195" s="14" t="s">
        <v>58</v>
      </c>
      <c r="I195" s="14" t="s">
        <v>37</v>
      </c>
      <c r="J195" s="14" t="s">
        <v>38</v>
      </c>
      <c r="K195" s="14" t="s">
        <v>40</v>
      </c>
      <c r="L195" s="14" t="s">
        <v>39</v>
      </c>
      <c r="M195" s="14" t="s">
        <v>40</v>
      </c>
      <c r="N195" s="14" t="s">
        <v>40</v>
      </c>
      <c r="O195" s="14" t="s">
        <v>41</v>
      </c>
      <c r="P195" s="14">
        <v>74.8</v>
      </c>
      <c r="Q195" s="14">
        <v>40.9</v>
      </c>
      <c r="R195" s="14">
        <v>48</v>
      </c>
      <c r="S195" s="14">
        <v>1</v>
      </c>
      <c r="T195" s="14">
        <v>0</v>
      </c>
      <c r="U195" s="14" t="s">
        <v>42</v>
      </c>
      <c r="V195" s="14" t="s">
        <v>43</v>
      </c>
      <c r="W195" s="14" t="s">
        <v>44</v>
      </c>
      <c r="X195" s="14">
        <v>1</v>
      </c>
      <c r="Y195" s="14" t="s">
        <v>45</v>
      </c>
      <c r="Z195" s="17">
        <v>1.1041666666666667</v>
      </c>
      <c r="AA195" s="14">
        <v>1</v>
      </c>
      <c r="AB195" s="14">
        <v>3</v>
      </c>
      <c r="AC195" s="14">
        <v>0</v>
      </c>
      <c r="AD195" s="17">
        <f>IFERROR(Z195/(AA195*AB195)*AC195*AA195,"")</f>
        <v>0</v>
      </c>
      <c r="AE195" s="17">
        <f>Z195+AD195</f>
        <v>1.1041666666666667</v>
      </c>
      <c r="AF195" s="17"/>
      <c r="AG195" s="14">
        <f>AB195+AC195</f>
        <v>3</v>
      </c>
      <c r="AH195" s="18"/>
      <c r="AI195" s="19"/>
      <c r="AJ195" s="19"/>
      <c r="AK195" s="19"/>
      <c r="AL195" s="19"/>
      <c r="AM195" s="19"/>
    </row>
    <row r="196" spans="1:39" ht="15.75" customHeight="1">
      <c r="A196" s="2"/>
      <c r="B196" s="20" t="s">
        <v>452</v>
      </c>
      <c r="C196" s="14" t="s">
        <v>325</v>
      </c>
      <c r="D196" s="14" t="s">
        <v>34</v>
      </c>
      <c r="E196" s="14" t="s">
        <v>453</v>
      </c>
      <c r="F196" s="14">
        <v>20</v>
      </c>
      <c r="G196" s="15">
        <v>8</v>
      </c>
      <c r="H196" s="14" t="s">
        <v>58</v>
      </c>
      <c r="I196" s="14" t="s">
        <v>37</v>
      </c>
      <c r="J196" s="14" t="s">
        <v>38</v>
      </c>
      <c r="K196" s="14" t="s">
        <v>38</v>
      </c>
      <c r="L196" s="14" t="s">
        <v>39</v>
      </c>
      <c r="M196" s="14" t="s">
        <v>40</v>
      </c>
      <c r="N196" s="14" t="s">
        <v>40</v>
      </c>
      <c r="O196" s="14" t="s">
        <v>53</v>
      </c>
      <c r="P196" s="14">
        <v>74.8</v>
      </c>
      <c r="Q196" s="14">
        <v>40.9</v>
      </c>
      <c r="R196" s="14">
        <v>48</v>
      </c>
      <c r="S196" s="14">
        <v>3</v>
      </c>
      <c r="T196" s="14">
        <v>0</v>
      </c>
      <c r="U196" s="14" t="s">
        <v>42</v>
      </c>
      <c r="V196" s="14" t="s">
        <v>43</v>
      </c>
      <c r="W196" s="14" t="s">
        <v>44</v>
      </c>
      <c r="X196" s="14">
        <v>2</v>
      </c>
      <c r="Y196" s="14" t="s">
        <v>45</v>
      </c>
      <c r="Z196" s="17">
        <v>2.8125</v>
      </c>
      <c r="AA196" s="14">
        <v>2</v>
      </c>
      <c r="AB196" s="14">
        <v>5</v>
      </c>
      <c r="AC196" s="14">
        <v>0</v>
      </c>
      <c r="AD196" s="17">
        <f>IFERROR(Z196/(AA196*AB196)*AC196*AA196,"")</f>
        <v>0</v>
      </c>
      <c r="AE196" s="17">
        <f>Z196+AD196</f>
        <v>2.8125</v>
      </c>
      <c r="AF196" s="17"/>
      <c r="AG196" s="14">
        <f>AB196+AC196</f>
        <v>5</v>
      </c>
      <c r="AH196" s="18"/>
      <c r="AI196" s="19"/>
      <c r="AJ196" s="19"/>
      <c r="AK196" s="19"/>
      <c r="AL196" s="19"/>
      <c r="AM196" s="19"/>
    </row>
    <row r="197" spans="1:39" ht="15.75" customHeight="1">
      <c r="A197" s="2"/>
      <c r="B197" s="20" t="s">
        <v>454</v>
      </c>
      <c r="C197" s="14" t="s">
        <v>77</v>
      </c>
      <c r="D197" s="14" t="s">
        <v>78</v>
      </c>
      <c r="E197" s="14" t="s">
        <v>35</v>
      </c>
      <c r="F197" s="14">
        <v>19</v>
      </c>
      <c r="G197" s="15">
        <v>7.6</v>
      </c>
      <c r="H197" s="14" t="s">
        <v>58</v>
      </c>
      <c r="I197" s="14" t="s">
        <v>37</v>
      </c>
      <c r="J197" s="14" t="s">
        <v>40</v>
      </c>
      <c r="K197" s="14" t="s">
        <v>40</v>
      </c>
      <c r="L197" s="14" t="s">
        <v>39</v>
      </c>
      <c r="M197" s="14" t="s">
        <v>40</v>
      </c>
      <c r="N197" s="14" t="s">
        <v>40</v>
      </c>
      <c r="O197" s="14" t="s">
        <v>41</v>
      </c>
      <c r="P197" s="14">
        <v>74.8</v>
      </c>
      <c r="Q197" s="14">
        <v>40.9</v>
      </c>
      <c r="R197" s="14">
        <v>48</v>
      </c>
      <c r="S197" s="14">
        <v>1</v>
      </c>
      <c r="T197" s="14">
        <v>0</v>
      </c>
      <c r="U197" s="14" t="s">
        <v>112</v>
      </c>
      <c r="V197" s="14" t="s">
        <v>113</v>
      </c>
      <c r="W197" s="14" t="s">
        <v>44</v>
      </c>
      <c r="X197" s="14">
        <v>1</v>
      </c>
      <c r="Y197" s="14" t="s">
        <v>45</v>
      </c>
      <c r="Z197" s="17">
        <v>2.1979166666666665</v>
      </c>
      <c r="AA197" s="14">
        <v>2</v>
      </c>
      <c r="AB197" s="14">
        <v>4</v>
      </c>
      <c r="AC197" s="14">
        <v>0</v>
      </c>
      <c r="AD197" s="17">
        <f>IFERROR(Z197/(AA197*AB197)*AC197*AA197,"")</f>
        <v>0</v>
      </c>
      <c r="AE197" s="17">
        <f>Z197+AD197</f>
        <v>2.1979166666666665</v>
      </c>
      <c r="AF197" s="17"/>
      <c r="AG197" s="14">
        <f>AB197+AC197</f>
        <v>4</v>
      </c>
      <c r="AH197" s="18"/>
      <c r="AI197" s="19"/>
      <c r="AJ197" s="19"/>
      <c r="AK197" s="19"/>
      <c r="AL197" s="19"/>
      <c r="AM197" s="19"/>
    </row>
    <row r="198" spans="1:39" ht="15.75" customHeight="1">
      <c r="A198" s="2"/>
      <c r="B198" s="20" t="s">
        <v>455</v>
      </c>
      <c r="C198" s="14" t="s">
        <v>273</v>
      </c>
      <c r="D198" s="14" t="s">
        <v>169</v>
      </c>
      <c r="E198" s="14" t="s">
        <v>35</v>
      </c>
      <c r="F198" s="14">
        <v>22</v>
      </c>
      <c r="G198" s="15">
        <v>10.67</v>
      </c>
      <c r="H198" s="14" t="s">
        <v>36</v>
      </c>
      <c r="I198" s="14" t="s">
        <v>195</v>
      </c>
      <c r="J198" s="14" t="s">
        <v>40</v>
      </c>
      <c r="K198" s="14" t="s">
        <v>40</v>
      </c>
      <c r="L198" s="14" t="s">
        <v>196</v>
      </c>
      <c r="M198" s="14" t="s">
        <v>40</v>
      </c>
      <c r="N198" s="14" t="s">
        <v>40</v>
      </c>
      <c r="O198" s="14" t="s">
        <v>290</v>
      </c>
      <c r="P198" s="14">
        <v>87.2</v>
      </c>
      <c r="Q198" s="14">
        <v>41.1</v>
      </c>
      <c r="R198" s="14">
        <v>64.2</v>
      </c>
      <c r="S198" s="14">
        <v>1</v>
      </c>
      <c r="T198" s="14">
        <v>0</v>
      </c>
      <c r="U198" s="14" t="s">
        <v>195</v>
      </c>
      <c r="V198" s="14" t="s">
        <v>195</v>
      </c>
      <c r="W198" s="14" t="s">
        <v>44</v>
      </c>
      <c r="X198" s="14">
        <v>0</v>
      </c>
      <c r="Y198" s="14" t="s">
        <v>45</v>
      </c>
      <c r="Z198" s="17">
        <v>3.15625</v>
      </c>
      <c r="AA198" s="14">
        <v>2</v>
      </c>
      <c r="AB198" s="14">
        <v>4</v>
      </c>
      <c r="AC198" s="14">
        <v>0</v>
      </c>
      <c r="AD198" s="17">
        <f>IFERROR(Z198/(AA198*AB198)*AC198*AA198,"")</f>
        <v>0</v>
      </c>
      <c r="AE198" s="17">
        <f>Z198+AD198</f>
        <v>3.15625</v>
      </c>
      <c r="AF198" s="17"/>
      <c r="AG198" s="14">
        <f>AB198+AC198</f>
        <v>4</v>
      </c>
      <c r="AH198" s="18"/>
      <c r="AI198" s="19"/>
      <c r="AJ198" s="19"/>
      <c r="AK198" s="19"/>
      <c r="AL198" s="19"/>
      <c r="AM198" s="19"/>
    </row>
    <row r="199" spans="1:39" ht="15.75" customHeight="1">
      <c r="A199" s="2"/>
      <c r="B199" s="20" t="s">
        <v>456</v>
      </c>
      <c r="C199" s="14" t="s">
        <v>143</v>
      </c>
      <c r="D199" s="14" t="s">
        <v>326</v>
      </c>
      <c r="E199" s="14" t="s">
        <v>35</v>
      </c>
      <c r="F199" s="14">
        <v>26</v>
      </c>
      <c r="G199" s="15">
        <v>10.4</v>
      </c>
      <c r="H199" s="14" t="s">
        <v>58</v>
      </c>
      <c r="I199" s="14" t="s">
        <v>37</v>
      </c>
      <c r="J199" s="14" t="s">
        <v>38</v>
      </c>
      <c r="K199" s="14" t="s">
        <v>40</v>
      </c>
      <c r="L199" s="14" t="s">
        <v>39</v>
      </c>
      <c r="M199" s="14" t="s">
        <v>40</v>
      </c>
      <c r="N199" s="14" t="s">
        <v>40</v>
      </c>
      <c r="O199" s="14" t="s">
        <v>53</v>
      </c>
      <c r="P199" s="14">
        <v>74.8</v>
      </c>
      <c r="Q199" s="14">
        <v>40.9</v>
      </c>
      <c r="R199" s="14">
        <v>48</v>
      </c>
      <c r="S199" s="14">
        <v>2</v>
      </c>
      <c r="T199" s="14">
        <v>0</v>
      </c>
      <c r="U199" s="14" t="s">
        <v>42</v>
      </c>
      <c r="V199" s="14" t="s">
        <v>43</v>
      </c>
      <c r="W199" s="14" t="s">
        <v>44</v>
      </c>
      <c r="X199" s="14">
        <v>1</v>
      </c>
      <c r="Y199" s="14" t="s">
        <v>45</v>
      </c>
      <c r="Z199" s="17">
        <v>1.5833333333333333</v>
      </c>
      <c r="AA199" s="14">
        <v>1</v>
      </c>
      <c r="AB199" s="14">
        <v>4</v>
      </c>
      <c r="AC199" s="14">
        <v>0</v>
      </c>
      <c r="AD199" s="17">
        <f>IFERROR(Z199/(AA199*AB199)*AC199*AA199,"")</f>
        <v>0</v>
      </c>
      <c r="AE199" s="17">
        <f>Z199+AD199</f>
        <v>1.5833333333333333</v>
      </c>
      <c r="AF199" s="17"/>
      <c r="AG199" s="14">
        <f>AB199+AC199</f>
        <v>4</v>
      </c>
      <c r="AH199" s="18"/>
      <c r="AI199" s="19"/>
      <c r="AJ199" s="19"/>
      <c r="AK199" s="19"/>
      <c r="AL199" s="19"/>
      <c r="AM199" s="19"/>
    </row>
    <row r="200" spans="1:39" ht="15.75" customHeight="1">
      <c r="A200" s="2"/>
      <c r="B200" s="20" t="s">
        <v>457</v>
      </c>
      <c r="C200" s="14" t="s">
        <v>203</v>
      </c>
      <c r="D200" s="14">
        <v>30</v>
      </c>
      <c r="E200" s="14">
        <v>180</v>
      </c>
      <c r="F200" s="14">
        <v>22</v>
      </c>
      <c r="G200" s="15">
        <v>10.67</v>
      </c>
      <c r="H200" s="14" t="s">
        <v>36</v>
      </c>
      <c r="I200" s="14" t="s">
        <v>195</v>
      </c>
      <c r="J200" s="14" t="s">
        <v>40</v>
      </c>
      <c r="K200" s="14" t="s">
        <v>40</v>
      </c>
      <c r="L200" s="14" t="s">
        <v>196</v>
      </c>
      <c r="M200" s="14" t="s">
        <v>40</v>
      </c>
      <c r="N200" s="14" t="s">
        <v>40</v>
      </c>
      <c r="O200" s="14" t="s">
        <v>135</v>
      </c>
      <c r="P200" s="14">
        <v>87.2</v>
      </c>
      <c r="Q200" s="14">
        <v>41.1</v>
      </c>
      <c r="R200" s="14">
        <v>64.2</v>
      </c>
      <c r="S200" s="14">
        <v>1</v>
      </c>
      <c r="T200" s="14">
        <v>0</v>
      </c>
      <c r="U200" s="14" t="s">
        <v>195</v>
      </c>
      <c r="V200" s="14" t="s">
        <v>195</v>
      </c>
      <c r="W200" s="14" t="s">
        <v>44</v>
      </c>
      <c r="X200" s="14">
        <v>0</v>
      </c>
      <c r="Y200" s="14" t="s">
        <v>45</v>
      </c>
      <c r="Z200" s="17">
        <v>2.3125</v>
      </c>
      <c r="AA200" s="14">
        <v>3</v>
      </c>
      <c r="AB200" s="14">
        <v>4</v>
      </c>
      <c r="AC200" s="14">
        <v>0</v>
      </c>
      <c r="AD200" s="17">
        <f>IFERROR(Z200/(AA200*AB200)*AC200*AA200,"")</f>
        <v>0</v>
      </c>
      <c r="AE200" s="17">
        <f>Z200+AD200</f>
        <v>2.3125</v>
      </c>
      <c r="AF200" s="17"/>
      <c r="AG200" s="14">
        <f>AB200+AC200</f>
        <v>4</v>
      </c>
      <c r="AH200" s="18" t="s">
        <v>458</v>
      </c>
      <c r="AI200" s="19"/>
      <c r="AJ200" s="19"/>
      <c r="AK200" s="19"/>
      <c r="AL200" s="19"/>
      <c r="AM200" s="19"/>
    </row>
    <row r="201" spans="1:39" ht="15.75" customHeight="1">
      <c r="A201" s="2"/>
      <c r="B201" s="20" t="s">
        <v>459</v>
      </c>
      <c r="C201" s="14" t="s">
        <v>47</v>
      </c>
      <c r="D201" s="14" t="s">
        <v>159</v>
      </c>
      <c r="E201" s="14" t="s">
        <v>245</v>
      </c>
      <c r="F201" s="14">
        <v>40</v>
      </c>
      <c r="G201" s="15">
        <v>16</v>
      </c>
      <c r="H201" s="14" t="s">
        <v>58</v>
      </c>
      <c r="I201" s="14" t="s">
        <v>37</v>
      </c>
      <c r="J201" s="14" t="s">
        <v>38</v>
      </c>
      <c r="K201" s="14" t="s">
        <v>38</v>
      </c>
      <c r="L201" s="14" t="s">
        <v>39</v>
      </c>
      <c r="M201" s="14" t="s">
        <v>40</v>
      </c>
      <c r="N201" s="14" t="s">
        <v>40</v>
      </c>
      <c r="O201" s="14" t="s">
        <v>41</v>
      </c>
      <c r="P201" s="14">
        <v>74.8</v>
      </c>
      <c r="Q201" s="14">
        <v>40.9</v>
      </c>
      <c r="R201" s="14">
        <v>48</v>
      </c>
      <c r="S201" s="14">
        <v>1</v>
      </c>
      <c r="T201" s="14">
        <v>0</v>
      </c>
      <c r="U201" s="14" t="s">
        <v>42</v>
      </c>
      <c r="V201" s="14" t="s">
        <v>378</v>
      </c>
      <c r="W201" s="14" t="s">
        <v>44</v>
      </c>
      <c r="X201" s="14">
        <v>1</v>
      </c>
      <c r="Y201" s="14" t="s">
        <v>45</v>
      </c>
      <c r="Z201" s="17">
        <v>2.2291666666666665</v>
      </c>
      <c r="AA201" s="14">
        <v>2</v>
      </c>
      <c r="AB201" s="14">
        <v>3</v>
      </c>
      <c r="AC201" s="14">
        <v>0</v>
      </c>
      <c r="AD201" s="17">
        <f>IFERROR(Z201/(AA201*AB201)*AC201*AA201,"")</f>
        <v>0</v>
      </c>
      <c r="AE201" s="17">
        <f>Z201+AD201</f>
        <v>2.2291666666666665</v>
      </c>
      <c r="AF201" s="17"/>
      <c r="AG201" s="14">
        <f>AB201+AC201</f>
        <v>3</v>
      </c>
      <c r="AH201" s="18" t="s">
        <v>460</v>
      </c>
      <c r="AI201" s="19"/>
      <c r="AJ201" s="19"/>
      <c r="AK201" s="19"/>
      <c r="AL201" s="19"/>
      <c r="AM201" s="19"/>
    </row>
    <row r="202" spans="1:39" ht="15.75" customHeight="1">
      <c r="A202" s="2"/>
      <c r="B202" s="20" t="s">
        <v>461</v>
      </c>
      <c r="C202" s="14" t="s">
        <v>462</v>
      </c>
      <c r="D202" s="14" t="s">
        <v>231</v>
      </c>
      <c r="E202" s="14" t="s">
        <v>84</v>
      </c>
      <c r="F202" s="14">
        <v>40</v>
      </c>
      <c r="G202" s="15">
        <v>16</v>
      </c>
      <c r="H202" s="14" t="s">
        <v>58</v>
      </c>
      <c r="I202" s="14" t="s">
        <v>37</v>
      </c>
      <c r="J202" s="14" t="s">
        <v>40</v>
      </c>
      <c r="K202" s="14" t="s">
        <v>40</v>
      </c>
      <c r="L202" s="14" t="s">
        <v>122</v>
      </c>
      <c r="M202" s="14" t="s">
        <v>38</v>
      </c>
      <c r="N202" s="14" t="s">
        <v>40</v>
      </c>
      <c r="O202" s="14" t="s">
        <v>75</v>
      </c>
      <c r="P202" s="14">
        <v>74.8</v>
      </c>
      <c r="Q202" s="14">
        <v>40.9</v>
      </c>
      <c r="R202" s="14">
        <v>48</v>
      </c>
      <c r="S202" s="14">
        <v>1</v>
      </c>
      <c r="T202" s="14">
        <v>56</v>
      </c>
      <c r="U202" s="14" t="s">
        <v>123</v>
      </c>
      <c r="V202" s="14" t="s">
        <v>124</v>
      </c>
      <c r="W202" s="14" t="s">
        <v>85</v>
      </c>
      <c r="X202" s="14">
        <v>1</v>
      </c>
      <c r="Y202" s="14" t="s">
        <v>147</v>
      </c>
      <c r="Z202" s="17">
        <v>3.4895833333333335</v>
      </c>
      <c r="AA202" s="14">
        <v>3</v>
      </c>
      <c r="AB202" s="14">
        <v>5</v>
      </c>
      <c r="AC202" s="14">
        <v>0</v>
      </c>
      <c r="AD202" s="17">
        <f>IFERROR(Z202/(AA202*AB202)*AC202*AA202,"")</f>
        <v>0</v>
      </c>
      <c r="AE202" s="17">
        <f>Z202+AD202</f>
        <v>3.4895833333333335</v>
      </c>
      <c r="AF202" s="17"/>
      <c r="AG202" s="14">
        <f>AB202+AC202</f>
        <v>5</v>
      </c>
      <c r="AH202" s="18" t="s">
        <v>463</v>
      </c>
      <c r="AI202" s="19"/>
      <c r="AJ202" s="19"/>
      <c r="AK202" s="19"/>
      <c r="AL202" s="19"/>
      <c r="AM202" s="19"/>
    </row>
    <row r="203" spans="1:39" ht="15.75" customHeight="1">
      <c r="A203" s="2"/>
      <c r="B203" s="20" t="s">
        <v>464</v>
      </c>
      <c r="C203" s="14" t="s">
        <v>129</v>
      </c>
      <c r="D203" s="14">
        <v>45</v>
      </c>
      <c r="E203" s="14">
        <v>195</v>
      </c>
      <c r="F203" s="14">
        <v>12</v>
      </c>
      <c r="G203" s="15">
        <v>4.8</v>
      </c>
      <c r="H203" s="14" t="s">
        <v>58</v>
      </c>
      <c r="I203" s="14" t="s">
        <v>37</v>
      </c>
      <c r="J203" s="14" t="s">
        <v>40</v>
      </c>
      <c r="K203" s="14" t="s">
        <v>40</v>
      </c>
      <c r="L203" s="14" t="s">
        <v>50</v>
      </c>
      <c r="M203" s="14" t="s">
        <v>40</v>
      </c>
      <c r="N203" s="14" t="s">
        <v>38</v>
      </c>
      <c r="O203" s="14" t="s">
        <v>41</v>
      </c>
      <c r="P203" s="14">
        <v>74.8</v>
      </c>
      <c r="Q203" s="14">
        <v>40.9</v>
      </c>
      <c r="R203" s="14">
        <v>48</v>
      </c>
      <c r="S203" s="14">
        <v>1</v>
      </c>
      <c r="T203" s="14">
        <v>0</v>
      </c>
      <c r="U203" s="14" t="s">
        <v>112</v>
      </c>
      <c r="V203" s="14" t="s">
        <v>113</v>
      </c>
      <c r="W203" s="14" t="s">
        <v>44</v>
      </c>
      <c r="X203" s="14">
        <v>1</v>
      </c>
      <c r="Y203" s="14" t="s">
        <v>45</v>
      </c>
      <c r="Z203" s="17">
        <v>1.6770833333333333</v>
      </c>
      <c r="AA203" s="14">
        <v>2</v>
      </c>
      <c r="AB203" s="14">
        <v>4</v>
      </c>
      <c r="AC203" s="14">
        <v>0</v>
      </c>
      <c r="AD203" s="17">
        <f>IFERROR(Z203/(AA203*AB203)*AC203*AA203,"")</f>
        <v>0</v>
      </c>
      <c r="AE203" s="17">
        <f>Z203+AD203</f>
        <v>1.6770833333333333</v>
      </c>
      <c r="AF203" s="17"/>
      <c r="AG203" s="14">
        <f>AB203+AC203</f>
        <v>4</v>
      </c>
      <c r="AH203" s="18"/>
      <c r="AI203" s="19"/>
      <c r="AJ203" s="19"/>
      <c r="AK203" s="19"/>
      <c r="AL203" s="19"/>
      <c r="AM203" s="19"/>
    </row>
    <row r="204" spans="1:39" ht="15.75" customHeight="1">
      <c r="A204" s="2"/>
      <c r="B204" s="20" t="s">
        <v>465</v>
      </c>
      <c r="C204" s="14" t="s">
        <v>129</v>
      </c>
      <c r="D204" s="14" t="s">
        <v>466</v>
      </c>
      <c r="E204" s="14">
        <v>195</v>
      </c>
      <c r="F204" s="14">
        <v>21</v>
      </c>
      <c r="G204" s="15">
        <v>8.5050000000000008</v>
      </c>
      <c r="H204" s="14" t="s">
        <v>58</v>
      </c>
      <c r="I204" s="14" t="s">
        <v>37</v>
      </c>
      <c r="J204" s="14" t="s">
        <v>38</v>
      </c>
      <c r="K204" s="14" t="s">
        <v>38</v>
      </c>
      <c r="L204" s="14" t="s">
        <v>50</v>
      </c>
      <c r="M204" s="14" t="s">
        <v>40</v>
      </c>
      <c r="N204" s="14" t="s">
        <v>38</v>
      </c>
      <c r="O204" s="14" t="s">
        <v>41</v>
      </c>
      <c r="P204" s="14">
        <v>71.7</v>
      </c>
      <c r="Q204" s="14">
        <v>40</v>
      </c>
      <c r="R204" s="14">
        <v>45</v>
      </c>
      <c r="S204" s="14">
        <v>2</v>
      </c>
      <c r="T204" s="14">
        <v>0</v>
      </c>
      <c r="U204" s="14" t="s">
        <v>42</v>
      </c>
      <c r="V204" s="14" t="s">
        <v>43</v>
      </c>
      <c r="W204" s="14" t="s">
        <v>44</v>
      </c>
      <c r="X204" s="14">
        <v>2</v>
      </c>
      <c r="Y204" s="14" t="s">
        <v>45</v>
      </c>
      <c r="Z204" s="17">
        <v>2.0416666666666665</v>
      </c>
      <c r="AA204" s="14">
        <v>3</v>
      </c>
      <c r="AB204" s="14">
        <v>4</v>
      </c>
      <c r="AC204" s="14">
        <v>0</v>
      </c>
      <c r="AD204" s="17">
        <f>IFERROR(Z204/(AA204*AB204)*AC204*AA204,"")</f>
        <v>0</v>
      </c>
      <c r="AE204" s="17">
        <f>Z204+AD204</f>
        <v>2.0416666666666665</v>
      </c>
      <c r="AF204" s="17"/>
      <c r="AG204" s="14">
        <f>AB204+AC204</f>
        <v>4</v>
      </c>
      <c r="AH204" s="18"/>
      <c r="AI204" s="19"/>
      <c r="AJ204" s="19"/>
      <c r="AK204" s="19"/>
      <c r="AL204" s="19"/>
      <c r="AM204" s="19"/>
    </row>
    <row r="205" spans="1:39" ht="15.75" customHeight="1">
      <c r="A205" s="2"/>
      <c r="B205" s="20" t="s">
        <v>467</v>
      </c>
      <c r="C205" s="14" t="s">
        <v>158</v>
      </c>
      <c r="D205" s="14" t="s">
        <v>66</v>
      </c>
      <c r="E205" s="14" t="s">
        <v>468</v>
      </c>
      <c r="F205" s="14">
        <v>28</v>
      </c>
      <c r="G205" s="15">
        <v>11.2</v>
      </c>
      <c r="H205" s="14" t="s">
        <v>58</v>
      </c>
      <c r="I205" s="14" t="s">
        <v>37</v>
      </c>
      <c r="J205" s="14" t="s">
        <v>38</v>
      </c>
      <c r="K205" s="14" t="s">
        <v>40</v>
      </c>
      <c r="L205" s="14" t="s">
        <v>39</v>
      </c>
      <c r="M205" s="14" t="s">
        <v>40</v>
      </c>
      <c r="N205" s="14" t="s">
        <v>40</v>
      </c>
      <c r="O205" s="14" t="s">
        <v>41</v>
      </c>
      <c r="P205" s="14">
        <v>74.8</v>
      </c>
      <c r="Q205" s="14">
        <v>40.9</v>
      </c>
      <c r="R205" s="14">
        <v>48</v>
      </c>
      <c r="S205" s="14">
        <v>2</v>
      </c>
      <c r="T205" s="14">
        <v>0</v>
      </c>
      <c r="U205" s="14" t="s">
        <v>42</v>
      </c>
      <c r="V205" s="14" t="s">
        <v>378</v>
      </c>
      <c r="W205" s="14" t="s">
        <v>44</v>
      </c>
      <c r="X205" s="14">
        <v>2</v>
      </c>
      <c r="Y205" s="14" t="s">
        <v>45</v>
      </c>
      <c r="Z205" s="17">
        <v>0.6875</v>
      </c>
      <c r="AA205" s="14">
        <v>1</v>
      </c>
      <c r="AB205" s="14">
        <v>2</v>
      </c>
      <c r="AC205" s="14">
        <v>0</v>
      </c>
      <c r="AD205" s="17">
        <f>IFERROR(Z205/(AA205*AB205)*AC205*AA205,"")</f>
        <v>0</v>
      </c>
      <c r="AE205" s="17">
        <f>Z205+AD205</f>
        <v>0.6875</v>
      </c>
      <c r="AF205" s="17"/>
      <c r="AG205" s="14">
        <f>AB205+AC205</f>
        <v>2</v>
      </c>
      <c r="AH205" s="18"/>
      <c r="AI205" s="19"/>
      <c r="AJ205" s="19"/>
      <c r="AK205" s="19"/>
      <c r="AL205" s="19"/>
      <c r="AM205" s="19"/>
    </row>
    <row r="206" spans="1:39" ht="15.75" customHeight="1">
      <c r="A206" s="2"/>
      <c r="B206" s="20" t="s">
        <v>469</v>
      </c>
      <c r="C206" s="14" t="s">
        <v>149</v>
      </c>
      <c r="D206" s="14">
        <v>27</v>
      </c>
      <c r="E206" s="14">
        <v>180</v>
      </c>
      <c r="F206" s="14">
        <v>30</v>
      </c>
      <c r="G206" s="15">
        <v>12</v>
      </c>
      <c r="H206" s="14" t="s">
        <v>58</v>
      </c>
      <c r="I206" s="14" t="s">
        <v>37</v>
      </c>
      <c r="J206" s="14" t="s">
        <v>38</v>
      </c>
      <c r="K206" s="14" t="s">
        <v>40</v>
      </c>
      <c r="L206" s="14" t="s">
        <v>39</v>
      </c>
      <c r="M206" s="14" t="s">
        <v>40</v>
      </c>
      <c r="N206" s="14" t="s">
        <v>40</v>
      </c>
      <c r="O206" s="14" t="s">
        <v>290</v>
      </c>
      <c r="P206" s="14">
        <v>74.8</v>
      </c>
      <c r="Q206" s="14">
        <v>40.9</v>
      </c>
      <c r="R206" s="14">
        <v>48</v>
      </c>
      <c r="S206" s="14">
        <v>1</v>
      </c>
      <c r="T206" s="14">
        <v>0</v>
      </c>
      <c r="U206" s="14" t="s">
        <v>42</v>
      </c>
      <c r="V206" s="14" t="s">
        <v>43</v>
      </c>
      <c r="W206" s="14" t="s">
        <v>44</v>
      </c>
      <c r="X206" s="14">
        <v>2</v>
      </c>
      <c r="Y206" s="14" t="s">
        <v>114</v>
      </c>
      <c r="Z206" s="17">
        <v>3.1354166666666665</v>
      </c>
      <c r="AA206" s="14">
        <v>2</v>
      </c>
      <c r="AB206" s="14">
        <v>5</v>
      </c>
      <c r="AC206" s="14">
        <v>0</v>
      </c>
      <c r="AD206" s="17">
        <f>IFERROR(Z206/(AA206*AB206)*AC206*AA206,"")</f>
        <v>0</v>
      </c>
      <c r="AE206" s="17">
        <f>Z206+AD206</f>
        <v>3.1354166666666665</v>
      </c>
      <c r="AF206" s="17"/>
      <c r="AG206" s="14">
        <f>AB206+AC206</f>
        <v>5</v>
      </c>
      <c r="AH206" s="18"/>
      <c r="AI206" s="19"/>
      <c r="AJ206" s="19"/>
      <c r="AK206" s="19"/>
      <c r="AL206" s="19"/>
      <c r="AM206" s="19"/>
    </row>
    <row r="207" spans="1:39" ht="15.75" customHeight="1">
      <c r="A207" s="2"/>
      <c r="B207" s="20" t="s">
        <v>470</v>
      </c>
      <c r="C207" s="14" t="s">
        <v>158</v>
      </c>
      <c r="D207" s="14">
        <v>27</v>
      </c>
      <c r="E207" s="14">
        <v>210</v>
      </c>
      <c r="F207" s="14">
        <v>12</v>
      </c>
      <c r="G207" s="15">
        <v>4.8</v>
      </c>
      <c r="H207" s="14" t="s">
        <v>58</v>
      </c>
      <c r="I207" s="14" t="s">
        <v>37</v>
      </c>
      <c r="J207" s="14" t="s">
        <v>38</v>
      </c>
      <c r="K207" s="14" t="s">
        <v>40</v>
      </c>
      <c r="L207" s="14" t="s">
        <v>39</v>
      </c>
      <c r="M207" s="14" t="s">
        <v>40</v>
      </c>
      <c r="N207" s="14" t="s">
        <v>38</v>
      </c>
      <c r="O207" s="14" t="s">
        <v>41</v>
      </c>
      <c r="P207" s="14">
        <v>71.7</v>
      </c>
      <c r="Q207" s="14">
        <v>40</v>
      </c>
      <c r="R207" s="14">
        <v>45</v>
      </c>
      <c r="S207" s="14">
        <v>2</v>
      </c>
      <c r="T207" s="14">
        <v>0</v>
      </c>
      <c r="U207" s="14" t="s">
        <v>42</v>
      </c>
      <c r="V207" s="14" t="s">
        <v>378</v>
      </c>
      <c r="W207" s="14" t="s">
        <v>44</v>
      </c>
      <c r="X207" s="14">
        <v>1</v>
      </c>
      <c r="Y207" s="14" t="s">
        <v>114</v>
      </c>
      <c r="Z207" s="17">
        <v>1.25</v>
      </c>
      <c r="AA207" s="14">
        <v>1</v>
      </c>
      <c r="AB207" s="14">
        <v>5</v>
      </c>
      <c r="AC207" s="14">
        <v>0</v>
      </c>
      <c r="AD207" s="17">
        <f>IFERROR(Z207/(AA207*AB207)*AC207*AA207,"")</f>
        <v>0</v>
      </c>
      <c r="AE207" s="17">
        <f>Z207+AD207</f>
        <v>1.25</v>
      </c>
      <c r="AF207" s="17"/>
      <c r="AG207" s="14">
        <f>AB207+AC207</f>
        <v>5</v>
      </c>
      <c r="AH207" s="18"/>
      <c r="AI207" s="19"/>
      <c r="AJ207" s="19"/>
      <c r="AK207" s="19"/>
      <c r="AL207" s="19"/>
      <c r="AM207" s="19"/>
    </row>
    <row r="208" spans="1:39" ht="15.75" customHeight="1">
      <c r="A208" s="2"/>
      <c r="B208" s="20" t="s">
        <v>471</v>
      </c>
      <c r="C208" s="14" t="s">
        <v>158</v>
      </c>
      <c r="D208" s="14">
        <v>27</v>
      </c>
      <c r="E208" s="14" t="s">
        <v>472</v>
      </c>
      <c r="F208" s="14">
        <v>12</v>
      </c>
      <c r="G208" s="15">
        <v>4.8</v>
      </c>
      <c r="H208" s="14" t="s">
        <v>58</v>
      </c>
      <c r="I208" s="14" t="s">
        <v>37</v>
      </c>
      <c r="J208" s="14" t="s">
        <v>38</v>
      </c>
      <c r="K208" s="14" t="s">
        <v>40</v>
      </c>
      <c r="L208" s="14" t="s">
        <v>39</v>
      </c>
      <c r="M208" s="14" t="s">
        <v>40</v>
      </c>
      <c r="N208" s="14" t="s">
        <v>38</v>
      </c>
      <c r="O208" s="14" t="s">
        <v>41</v>
      </c>
      <c r="P208" s="14">
        <v>71.7</v>
      </c>
      <c r="Q208" s="14">
        <v>40</v>
      </c>
      <c r="R208" s="14">
        <v>45</v>
      </c>
      <c r="S208" s="14">
        <v>2</v>
      </c>
      <c r="T208" s="14">
        <v>0</v>
      </c>
      <c r="U208" s="14" t="s">
        <v>42</v>
      </c>
      <c r="V208" s="14" t="s">
        <v>378</v>
      </c>
      <c r="W208" s="14" t="s">
        <v>44</v>
      </c>
      <c r="X208" s="14">
        <v>1</v>
      </c>
      <c r="Y208" s="14" t="s">
        <v>114</v>
      </c>
      <c r="Z208" s="17">
        <v>1.25</v>
      </c>
      <c r="AA208" s="14">
        <v>1</v>
      </c>
      <c r="AB208" s="14">
        <v>5</v>
      </c>
      <c r="AC208" s="14">
        <v>0</v>
      </c>
      <c r="AD208" s="17">
        <f>IFERROR(Z208/(AA208*AB208)*AC208*AA208,"")</f>
        <v>0</v>
      </c>
      <c r="AE208" s="17">
        <f>Z208+AD208</f>
        <v>1.25</v>
      </c>
      <c r="AF208" s="17"/>
      <c r="AG208" s="14">
        <f>AB208+AC208</f>
        <v>5</v>
      </c>
      <c r="AH208" s="18"/>
      <c r="AI208" s="19"/>
      <c r="AJ208" s="19"/>
      <c r="AK208" s="19"/>
      <c r="AL208" s="19"/>
      <c r="AM208" s="19"/>
    </row>
    <row r="209" spans="1:39" ht="15.75" customHeight="1">
      <c r="A209" s="2"/>
      <c r="B209" s="20" t="s">
        <v>473</v>
      </c>
      <c r="C209" s="14" t="s">
        <v>158</v>
      </c>
      <c r="D209" s="14">
        <v>27</v>
      </c>
      <c r="E209" s="14">
        <v>129</v>
      </c>
      <c r="F209" s="14">
        <v>12</v>
      </c>
      <c r="G209" s="15">
        <v>4.8</v>
      </c>
      <c r="H209" s="14" t="s">
        <v>58</v>
      </c>
      <c r="I209" s="14" t="s">
        <v>37</v>
      </c>
      <c r="J209" s="14" t="s">
        <v>38</v>
      </c>
      <c r="K209" s="14" t="s">
        <v>40</v>
      </c>
      <c r="L209" s="14" t="s">
        <v>39</v>
      </c>
      <c r="M209" s="14" t="s">
        <v>40</v>
      </c>
      <c r="N209" s="14" t="s">
        <v>38</v>
      </c>
      <c r="O209" s="14" t="s">
        <v>41</v>
      </c>
      <c r="P209" s="14">
        <v>71.7</v>
      </c>
      <c r="Q209" s="14">
        <v>40</v>
      </c>
      <c r="R209" s="14">
        <v>45</v>
      </c>
      <c r="S209" s="14">
        <v>2</v>
      </c>
      <c r="T209" s="14">
        <v>0</v>
      </c>
      <c r="U209" s="14" t="s">
        <v>42</v>
      </c>
      <c r="V209" s="14" t="s">
        <v>378</v>
      </c>
      <c r="W209" s="14" t="s">
        <v>44</v>
      </c>
      <c r="X209" s="14">
        <v>1</v>
      </c>
      <c r="Y209" s="14" t="s">
        <v>114</v>
      </c>
      <c r="Z209" s="17">
        <v>1.0416666666666667</v>
      </c>
      <c r="AA209" s="14">
        <v>1</v>
      </c>
      <c r="AB209" s="14">
        <v>5</v>
      </c>
      <c r="AC209" s="14">
        <v>0</v>
      </c>
      <c r="AD209" s="17">
        <f>IFERROR(Z209/(AA209*AB209)*AC209*AA209,"")</f>
        <v>0</v>
      </c>
      <c r="AE209" s="17">
        <f>Z209+AD209</f>
        <v>1.0416666666666667</v>
      </c>
      <c r="AF209" s="17"/>
      <c r="AG209" s="14">
        <f>AB209+AC209</f>
        <v>5</v>
      </c>
      <c r="AH209" s="18"/>
      <c r="AI209" s="19"/>
      <c r="AJ209" s="19"/>
      <c r="AK209" s="19"/>
      <c r="AL209" s="19"/>
      <c r="AM209" s="19"/>
    </row>
    <row r="210" spans="1:39" ht="15.75" customHeight="1">
      <c r="A210" s="2"/>
      <c r="B210" s="20" t="s">
        <v>474</v>
      </c>
      <c r="C210" s="14" t="s">
        <v>158</v>
      </c>
      <c r="D210" s="14">
        <v>27</v>
      </c>
      <c r="E210" s="14">
        <v>135</v>
      </c>
      <c r="F210" s="14">
        <v>12</v>
      </c>
      <c r="G210" s="15">
        <v>4.8</v>
      </c>
      <c r="H210" s="14" t="s">
        <v>58</v>
      </c>
      <c r="I210" s="14" t="s">
        <v>37</v>
      </c>
      <c r="J210" s="14" t="s">
        <v>38</v>
      </c>
      <c r="K210" s="14" t="s">
        <v>40</v>
      </c>
      <c r="L210" s="14" t="s">
        <v>39</v>
      </c>
      <c r="M210" s="14" t="s">
        <v>40</v>
      </c>
      <c r="N210" s="14" t="s">
        <v>38</v>
      </c>
      <c r="O210" s="14" t="s">
        <v>41</v>
      </c>
      <c r="P210" s="14">
        <v>71.7</v>
      </c>
      <c r="Q210" s="14">
        <v>40</v>
      </c>
      <c r="R210" s="14">
        <v>45</v>
      </c>
      <c r="S210" s="14">
        <v>1</v>
      </c>
      <c r="T210" s="14">
        <v>0</v>
      </c>
      <c r="U210" s="14" t="s">
        <v>42</v>
      </c>
      <c r="V210" s="14" t="s">
        <v>378</v>
      </c>
      <c r="W210" s="14" t="s">
        <v>44</v>
      </c>
      <c r="X210" s="14">
        <v>1</v>
      </c>
      <c r="Y210" s="14" t="s">
        <v>114</v>
      </c>
      <c r="Z210" s="17">
        <v>1.2708333333333333</v>
      </c>
      <c r="AA210" s="14">
        <v>2</v>
      </c>
      <c r="AB210" s="14">
        <v>5</v>
      </c>
      <c r="AC210" s="14">
        <v>0</v>
      </c>
      <c r="AD210" s="17">
        <f>IFERROR(Z210/(AA210*AB210)*AC210*AA210,"")</f>
        <v>0</v>
      </c>
      <c r="AE210" s="17">
        <f>Z210+AD210</f>
        <v>1.2708333333333333</v>
      </c>
      <c r="AF210" s="17"/>
      <c r="AG210" s="14">
        <f>AB210+AC210</f>
        <v>5</v>
      </c>
      <c r="AH210" s="18"/>
      <c r="AI210" s="19"/>
      <c r="AJ210" s="19"/>
      <c r="AK210" s="19"/>
      <c r="AL210" s="19"/>
      <c r="AM210" s="19"/>
    </row>
    <row r="211" spans="1:39" ht="15.75" customHeight="1">
      <c r="A211" s="2"/>
      <c r="B211" s="20" t="s">
        <v>475</v>
      </c>
      <c r="C211" s="14" t="s">
        <v>205</v>
      </c>
      <c r="D211" s="14">
        <v>27</v>
      </c>
      <c r="E211" s="14">
        <v>146</v>
      </c>
      <c r="F211" s="14">
        <v>12</v>
      </c>
      <c r="G211" s="15">
        <v>4.8</v>
      </c>
      <c r="H211" s="14" t="s">
        <v>58</v>
      </c>
      <c r="I211" s="14" t="s">
        <v>37</v>
      </c>
      <c r="J211" s="14" t="s">
        <v>38</v>
      </c>
      <c r="K211" s="14" t="s">
        <v>40</v>
      </c>
      <c r="L211" s="14" t="s">
        <v>39</v>
      </c>
      <c r="M211" s="14" t="s">
        <v>40</v>
      </c>
      <c r="N211" s="14" t="s">
        <v>38</v>
      </c>
      <c r="O211" s="14" t="s">
        <v>80</v>
      </c>
      <c r="P211" s="14">
        <v>71.7</v>
      </c>
      <c r="Q211" s="14">
        <v>40</v>
      </c>
      <c r="R211" s="14">
        <v>45</v>
      </c>
      <c r="S211" s="14">
        <v>2</v>
      </c>
      <c r="T211" s="14">
        <v>0</v>
      </c>
      <c r="U211" s="14" t="s">
        <v>42</v>
      </c>
      <c r="V211" s="14" t="s">
        <v>378</v>
      </c>
      <c r="W211" s="14" t="s">
        <v>44</v>
      </c>
      <c r="X211" s="14">
        <v>1</v>
      </c>
      <c r="Y211" s="14" t="s">
        <v>114</v>
      </c>
      <c r="Z211" s="17">
        <v>1.4166666666666667</v>
      </c>
      <c r="AA211" s="14">
        <v>1</v>
      </c>
      <c r="AB211" s="14">
        <v>5</v>
      </c>
      <c r="AC211" s="14">
        <v>0</v>
      </c>
      <c r="AD211" s="17">
        <f>IFERROR(Z211/(AA211*AB211)*AC211*AA211,"")</f>
        <v>0</v>
      </c>
      <c r="AE211" s="17">
        <f>Z211+AD211</f>
        <v>1.4166666666666667</v>
      </c>
      <c r="AF211" s="17"/>
      <c r="AG211" s="14">
        <f>AB211+AC211</f>
        <v>5</v>
      </c>
      <c r="AH211" s="18"/>
      <c r="AI211" s="19"/>
      <c r="AJ211" s="19"/>
      <c r="AK211" s="19"/>
      <c r="AL211" s="19"/>
      <c r="AM211" s="19"/>
    </row>
    <row r="212" spans="1:39" ht="15.75" customHeight="1">
      <c r="A212" s="2"/>
      <c r="B212" s="20" t="s">
        <v>476</v>
      </c>
      <c r="C212" s="14" t="s">
        <v>69</v>
      </c>
      <c r="D212" s="14">
        <v>16.5</v>
      </c>
      <c r="E212" s="14">
        <v>150</v>
      </c>
      <c r="F212" s="14">
        <v>12</v>
      </c>
      <c r="G212" s="15">
        <v>5.04</v>
      </c>
      <c r="H212" s="14" t="s">
        <v>58</v>
      </c>
      <c r="I212" s="14" t="s">
        <v>37</v>
      </c>
      <c r="J212" s="14" t="s">
        <v>38</v>
      </c>
      <c r="K212" s="14" t="s">
        <v>38</v>
      </c>
      <c r="L212" s="14" t="s">
        <v>50</v>
      </c>
      <c r="M212" s="14" t="s">
        <v>38</v>
      </c>
      <c r="N212" s="14" t="s">
        <v>38</v>
      </c>
      <c r="O212" s="14" t="s">
        <v>41</v>
      </c>
      <c r="P212" s="14">
        <v>73.400000000000006</v>
      </c>
      <c r="Q212" s="14">
        <v>40.9</v>
      </c>
      <c r="R212" s="14">
        <v>47.8</v>
      </c>
      <c r="S212" s="14">
        <v>1</v>
      </c>
      <c r="T212" s="14">
        <v>10</v>
      </c>
      <c r="U212" s="14" t="s">
        <v>42</v>
      </c>
      <c r="V212" s="14" t="s">
        <v>67</v>
      </c>
      <c r="W212" s="14" t="s">
        <v>44</v>
      </c>
      <c r="X212" s="14">
        <v>1</v>
      </c>
      <c r="Y212" s="14" t="s">
        <v>114</v>
      </c>
      <c r="Z212" s="17">
        <v>1.6041666666666667</v>
      </c>
      <c r="AA212" s="14">
        <v>1</v>
      </c>
      <c r="AB212" s="14">
        <v>5</v>
      </c>
      <c r="AC212" s="14">
        <v>0</v>
      </c>
      <c r="AD212" s="17">
        <f>IFERROR(Z212/(AA212*AB212)*AC212*AA212,"")</f>
        <v>0</v>
      </c>
      <c r="AE212" s="17">
        <f>Z212+AD212</f>
        <v>1.6041666666666667</v>
      </c>
      <c r="AF212" s="17"/>
      <c r="AG212" s="14">
        <f>AB212+AC212</f>
        <v>5</v>
      </c>
      <c r="AH212" s="18"/>
      <c r="AI212" s="19"/>
      <c r="AJ212" s="19"/>
      <c r="AK212" s="19"/>
      <c r="AL212" s="19"/>
      <c r="AM212" s="19"/>
    </row>
    <row r="213" spans="1:39" ht="15.75" customHeight="1">
      <c r="A213" s="2"/>
      <c r="B213" s="20" t="s">
        <v>477</v>
      </c>
      <c r="C213" s="14" t="s">
        <v>143</v>
      </c>
      <c r="D213" s="14">
        <v>25</v>
      </c>
      <c r="E213" s="14">
        <v>180</v>
      </c>
      <c r="F213" s="14">
        <v>12</v>
      </c>
      <c r="G213" s="15">
        <v>4.8</v>
      </c>
      <c r="H213" s="14" t="s">
        <v>58</v>
      </c>
      <c r="I213" s="14" t="s">
        <v>37</v>
      </c>
      <c r="J213" s="14" t="s">
        <v>38</v>
      </c>
      <c r="K213" s="14" t="s">
        <v>40</v>
      </c>
      <c r="L213" s="14" t="s">
        <v>39</v>
      </c>
      <c r="M213" s="14" t="s">
        <v>40</v>
      </c>
      <c r="N213" s="14" t="s">
        <v>38</v>
      </c>
      <c r="O213" s="14" t="s">
        <v>41</v>
      </c>
      <c r="P213" s="14">
        <v>74.8</v>
      </c>
      <c r="Q213" s="14">
        <v>40.9</v>
      </c>
      <c r="R213" s="14">
        <v>48</v>
      </c>
      <c r="S213" s="14">
        <v>1</v>
      </c>
      <c r="T213" s="14">
        <v>0</v>
      </c>
      <c r="U213" s="14" t="s">
        <v>42</v>
      </c>
      <c r="V213" s="14" t="s">
        <v>43</v>
      </c>
      <c r="W213" s="14" t="s">
        <v>44</v>
      </c>
      <c r="X213" s="14">
        <v>1</v>
      </c>
      <c r="Y213" s="14" t="s">
        <v>114</v>
      </c>
      <c r="Z213" s="17">
        <v>2.0104166666666665</v>
      </c>
      <c r="AA213" s="14">
        <v>2</v>
      </c>
      <c r="AB213" s="14">
        <v>5</v>
      </c>
      <c r="AC213" s="14">
        <v>0</v>
      </c>
      <c r="AD213" s="17">
        <f>IFERROR(Z213/(AA213*AB213)*AC213*AA213,"")</f>
        <v>0</v>
      </c>
      <c r="AE213" s="17">
        <f>Z213+AD213</f>
        <v>2.0104166666666665</v>
      </c>
      <c r="AF213" s="17"/>
      <c r="AG213" s="14">
        <f>AB213+AC213</f>
        <v>5</v>
      </c>
      <c r="AH213" s="18"/>
      <c r="AI213" s="19"/>
      <c r="AJ213" s="19"/>
      <c r="AK213" s="19"/>
      <c r="AL213" s="19"/>
      <c r="AM213" s="19"/>
    </row>
    <row r="214" spans="1:39" ht="15.75" customHeight="1">
      <c r="A214" s="2"/>
      <c r="B214" s="20" t="s">
        <v>478</v>
      </c>
      <c r="C214" s="14" t="s">
        <v>47</v>
      </c>
      <c r="D214" s="14">
        <v>27</v>
      </c>
      <c r="E214" s="14">
        <v>267</v>
      </c>
      <c r="F214" s="14">
        <v>24</v>
      </c>
      <c r="G214" s="15">
        <v>9.6</v>
      </c>
      <c r="H214" s="14" t="s">
        <v>58</v>
      </c>
      <c r="I214" s="14" t="s">
        <v>37</v>
      </c>
      <c r="J214" s="14" t="s">
        <v>38</v>
      </c>
      <c r="K214" s="14" t="s">
        <v>40</v>
      </c>
      <c r="L214" s="14" t="s">
        <v>39</v>
      </c>
      <c r="M214" s="14" t="s">
        <v>40</v>
      </c>
      <c r="N214" s="14" t="s">
        <v>40</v>
      </c>
      <c r="O214" s="14" t="s">
        <v>41</v>
      </c>
      <c r="P214" s="14">
        <v>74.8</v>
      </c>
      <c r="Q214" s="14">
        <v>40.9</v>
      </c>
      <c r="R214" s="14">
        <v>48</v>
      </c>
      <c r="S214" s="14">
        <v>1</v>
      </c>
      <c r="T214" s="14">
        <v>0</v>
      </c>
      <c r="U214" s="14" t="s">
        <v>42</v>
      </c>
      <c r="V214" s="14" t="s">
        <v>43</v>
      </c>
      <c r="W214" s="14" t="s">
        <v>44</v>
      </c>
      <c r="X214" s="14">
        <v>2</v>
      </c>
      <c r="Y214" s="14" t="s">
        <v>114</v>
      </c>
      <c r="Z214" s="17">
        <v>1.5208333333333333</v>
      </c>
      <c r="AA214" s="14">
        <v>1</v>
      </c>
      <c r="AB214" s="14">
        <v>5</v>
      </c>
      <c r="AC214" s="14">
        <v>0</v>
      </c>
      <c r="AD214" s="17">
        <f>IFERROR(Z214/(AA214*AB214)*AC214*AA214,"")</f>
        <v>0</v>
      </c>
      <c r="AE214" s="17">
        <f>Z214+AD214</f>
        <v>1.5208333333333333</v>
      </c>
      <c r="AF214" s="17"/>
      <c r="AG214" s="14">
        <f>AB214+AC214</f>
        <v>5</v>
      </c>
      <c r="AH214" s="18"/>
      <c r="AI214" s="19"/>
      <c r="AJ214" s="19"/>
      <c r="AK214" s="19"/>
      <c r="AL214" s="19"/>
      <c r="AM214" s="19"/>
    </row>
    <row r="215" spans="1:39" ht="15.75" customHeight="1">
      <c r="A215" s="2"/>
      <c r="B215" s="20" t="s">
        <v>479</v>
      </c>
      <c r="C215" s="14" t="s">
        <v>480</v>
      </c>
      <c r="D215" s="14">
        <v>33.700000000000003</v>
      </c>
      <c r="E215" s="14">
        <v>260</v>
      </c>
      <c r="F215" s="14">
        <v>16</v>
      </c>
      <c r="G215" s="15">
        <v>6.72</v>
      </c>
      <c r="H215" s="14" t="s">
        <v>58</v>
      </c>
      <c r="I215" s="14" t="s">
        <v>37</v>
      </c>
      <c r="J215" s="14" t="s">
        <v>38</v>
      </c>
      <c r="K215" s="14" t="s">
        <v>40</v>
      </c>
      <c r="L215" s="14" t="s">
        <v>50</v>
      </c>
      <c r="M215" s="14" t="s">
        <v>40</v>
      </c>
      <c r="N215" s="14" t="s">
        <v>38</v>
      </c>
      <c r="O215" s="14" t="s">
        <v>41</v>
      </c>
      <c r="P215" s="14">
        <v>73.400000000000006</v>
      </c>
      <c r="Q215" s="14">
        <v>40.9</v>
      </c>
      <c r="R215" s="14">
        <v>47.8</v>
      </c>
      <c r="S215" s="14">
        <v>3</v>
      </c>
      <c r="T215" s="14">
        <v>0</v>
      </c>
      <c r="U215" s="14" t="s">
        <v>42</v>
      </c>
      <c r="V215" s="14" t="s">
        <v>43</v>
      </c>
      <c r="W215" s="14" t="s">
        <v>44</v>
      </c>
      <c r="X215" s="14">
        <v>2</v>
      </c>
      <c r="Y215" s="14" t="s">
        <v>114</v>
      </c>
      <c r="Z215" s="17">
        <v>1.8645833333333333</v>
      </c>
      <c r="AA215" s="14">
        <v>2</v>
      </c>
      <c r="AB215" s="14">
        <v>5</v>
      </c>
      <c r="AC215" s="14">
        <v>0</v>
      </c>
      <c r="AD215" s="17">
        <f>IFERROR(Z215/(AA215*AB215)*AC215*AA215,"")</f>
        <v>0</v>
      </c>
      <c r="AE215" s="17">
        <f>Z215+AD215</f>
        <v>1.8645833333333333</v>
      </c>
      <c r="AF215" s="17"/>
      <c r="AG215" s="14">
        <f>AB215+AC215</f>
        <v>5</v>
      </c>
      <c r="AH215" s="18"/>
      <c r="AI215" s="19"/>
      <c r="AJ215" s="19"/>
      <c r="AK215" s="19"/>
      <c r="AL215" s="19"/>
      <c r="AM215" s="19"/>
    </row>
    <row r="216" spans="1:39" ht="15.75" customHeight="1">
      <c r="A216" s="2"/>
      <c r="B216" s="20" t="s">
        <v>481</v>
      </c>
      <c r="C216" s="14" t="s">
        <v>102</v>
      </c>
      <c r="D216" s="14">
        <v>27</v>
      </c>
      <c r="E216" s="14">
        <v>182</v>
      </c>
      <c r="F216" s="14">
        <v>17</v>
      </c>
      <c r="G216" s="15">
        <v>7.82</v>
      </c>
      <c r="H216" s="14" t="s">
        <v>58</v>
      </c>
      <c r="I216" s="14" t="s">
        <v>37</v>
      </c>
      <c r="J216" s="14" t="s">
        <v>38</v>
      </c>
      <c r="K216" s="14" t="s">
        <v>38</v>
      </c>
      <c r="L216" s="14" t="s">
        <v>39</v>
      </c>
      <c r="M216" s="14" t="s">
        <v>40</v>
      </c>
      <c r="N216" s="14" t="s">
        <v>38</v>
      </c>
      <c r="O216" s="14" t="s">
        <v>41</v>
      </c>
      <c r="P216" s="14">
        <v>68</v>
      </c>
      <c r="Q216" s="14">
        <v>47.4</v>
      </c>
      <c r="R216" s="14">
        <v>50</v>
      </c>
      <c r="S216" s="14">
        <v>3</v>
      </c>
      <c r="T216" s="14">
        <v>0</v>
      </c>
      <c r="U216" s="14" t="s">
        <v>42</v>
      </c>
      <c r="V216" s="14" t="s">
        <v>43</v>
      </c>
      <c r="W216" s="14" t="s">
        <v>62</v>
      </c>
      <c r="X216" s="14">
        <v>2</v>
      </c>
      <c r="Y216" s="14" t="s">
        <v>114</v>
      </c>
      <c r="Z216" s="17">
        <v>1.9791666666666667</v>
      </c>
      <c r="AA216" s="14">
        <v>1</v>
      </c>
      <c r="AB216" s="14">
        <v>5</v>
      </c>
      <c r="AC216" s="14">
        <v>0</v>
      </c>
      <c r="AD216" s="17">
        <f>IFERROR(Z216/(AA216*AB216)*AC216*AA216,"")</f>
        <v>0</v>
      </c>
      <c r="AE216" s="17">
        <f>Z216+AD216</f>
        <v>1.9791666666666667</v>
      </c>
      <c r="AF216" s="17"/>
      <c r="AG216" s="14">
        <f>AB216+AC216</f>
        <v>5</v>
      </c>
      <c r="AH216" s="18"/>
      <c r="AI216" s="19"/>
      <c r="AJ216" s="19"/>
      <c r="AK216" s="19"/>
      <c r="AL216" s="19"/>
      <c r="AM216" s="19"/>
    </row>
    <row r="217" spans="1:39" ht="15.75" customHeight="1">
      <c r="A217" s="2"/>
      <c r="B217" s="20" t="s">
        <v>482</v>
      </c>
      <c r="C217" s="14" t="s">
        <v>435</v>
      </c>
      <c r="D217" s="14" t="s">
        <v>483</v>
      </c>
      <c r="E217" s="14" t="s">
        <v>484</v>
      </c>
      <c r="F217" s="14">
        <v>26</v>
      </c>
      <c r="G217" s="15">
        <v>10.92</v>
      </c>
      <c r="H217" s="14" t="s">
        <v>58</v>
      </c>
      <c r="I217" s="14" t="s">
        <v>37</v>
      </c>
      <c r="J217" s="14" t="s">
        <v>38</v>
      </c>
      <c r="K217" s="14" t="s">
        <v>40</v>
      </c>
      <c r="L217" s="14" t="s">
        <v>50</v>
      </c>
      <c r="M217" s="14" t="s">
        <v>38</v>
      </c>
      <c r="N217" s="14" t="s">
        <v>40</v>
      </c>
      <c r="O217" s="14" t="s">
        <v>41</v>
      </c>
      <c r="P217" s="14">
        <v>73.400000000000006</v>
      </c>
      <c r="Q217" s="14">
        <v>40.9</v>
      </c>
      <c r="R217" s="14">
        <v>47.8</v>
      </c>
      <c r="S217" s="14">
        <v>3</v>
      </c>
      <c r="T217" s="14">
        <v>17</v>
      </c>
      <c r="U217" s="14" t="s">
        <v>42</v>
      </c>
      <c r="V217" s="14" t="s">
        <v>424</v>
      </c>
      <c r="W217" s="14" t="s">
        <v>44</v>
      </c>
      <c r="X217" s="14">
        <v>2</v>
      </c>
      <c r="Y217" s="14" t="s">
        <v>114</v>
      </c>
      <c r="Z217" s="17">
        <v>3.7708333333333335</v>
      </c>
      <c r="AA217" s="14">
        <v>2</v>
      </c>
      <c r="AB217" s="14">
        <v>5</v>
      </c>
      <c r="AC217" s="14">
        <v>0</v>
      </c>
      <c r="AD217" s="17">
        <f>IFERROR(Z217/(AA217*AB217)*AC217*AA217,"")</f>
        <v>0</v>
      </c>
      <c r="AE217" s="17">
        <f>Z217+AD217</f>
        <v>3.7708333333333335</v>
      </c>
      <c r="AF217" s="17"/>
      <c r="AG217" s="14">
        <f>AB217+AC217</f>
        <v>5</v>
      </c>
      <c r="AH217" s="18"/>
      <c r="AI217" s="19"/>
      <c r="AJ217" s="19"/>
      <c r="AK217" s="19"/>
      <c r="AL217" s="19"/>
      <c r="AM217" s="19"/>
    </row>
    <row r="218" spans="1:39" ht="15.75" customHeight="1">
      <c r="A218" s="2"/>
      <c r="B218" s="20" t="s">
        <v>485</v>
      </c>
      <c r="C218" s="14" t="s">
        <v>166</v>
      </c>
      <c r="D218" s="14" t="s">
        <v>486</v>
      </c>
      <c r="E218" s="14">
        <v>178.5</v>
      </c>
      <c r="F218" s="14">
        <v>36</v>
      </c>
      <c r="G218" s="15">
        <v>14.4</v>
      </c>
      <c r="H218" s="14" t="s">
        <v>58</v>
      </c>
      <c r="I218" s="14" t="s">
        <v>37</v>
      </c>
      <c r="J218" s="14" t="s">
        <v>38</v>
      </c>
      <c r="K218" s="14" t="s">
        <v>40</v>
      </c>
      <c r="L218" s="14" t="s">
        <v>39</v>
      </c>
      <c r="M218" s="14" t="s">
        <v>40</v>
      </c>
      <c r="N218" s="14" t="s">
        <v>40</v>
      </c>
      <c r="O218" s="14" t="s">
        <v>41</v>
      </c>
      <c r="P218" s="14">
        <v>74.8</v>
      </c>
      <c r="Q218" s="14">
        <v>40.9</v>
      </c>
      <c r="R218" s="14">
        <v>48</v>
      </c>
      <c r="S218" s="14">
        <v>2</v>
      </c>
      <c r="T218" s="14">
        <v>0</v>
      </c>
      <c r="U218" s="14" t="s">
        <v>42</v>
      </c>
      <c r="V218" s="14" t="s">
        <v>43</v>
      </c>
      <c r="W218" s="14" t="s">
        <v>44</v>
      </c>
      <c r="X218" s="14">
        <v>2</v>
      </c>
      <c r="Y218" s="14" t="s">
        <v>114</v>
      </c>
      <c r="Z218" s="17">
        <v>3.0729166666666665</v>
      </c>
      <c r="AA218" s="14">
        <v>2</v>
      </c>
      <c r="AB218" s="14">
        <v>5</v>
      </c>
      <c r="AC218" s="14">
        <v>0</v>
      </c>
      <c r="AD218" s="17">
        <f>IFERROR(Z218/(AA218*AB218)*AC218*AA218,"")</f>
        <v>0</v>
      </c>
      <c r="AE218" s="17">
        <f>Z218+AD218</f>
        <v>3.0729166666666665</v>
      </c>
      <c r="AF218" s="17"/>
      <c r="AG218" s="14">
        <f>AB218+AC218</f>
        <v>5</v>
      </c>
      <c r="AH218" s="18" t="s">
        <v>363</v>
      </c>
      <c r="AI218" s="19"/>
      <c r="AJ218" s="19"/>
      <c r="AK218" s="19"/>
      <c r="AL218" s="19"/>
      <c r="AM218" s="19"/>
    </row>
    <row r="219" spans="1:39" ht="15.75" customHeight="1">
      <c r="A219" s="2"/>
      <c r="B219" s="20" t="s">
        <v>487</v>
      </c>
      <c r="C219" s="14" t="s">
        <v>480</v>
      </c>
      <c r="D219" s="14">
        <v>45</v>
      </c>
      <c r="E219" s="14">
        <v>180</v>
      </c>
      <c r="F219" s="14">
        <v>14</v>
      </c>
      <c r="G219" s="15">
        <v>5.6</v>
      </c>
      <c r="H219" s="14" t="s">
        <v>58</v>
      </c>
      <c r="I219" s="14" t="s">
        <v>37</v>
      </c>
      <c r="J219" s="14" t="s">
        <v>38</v>
      </c>
      <c r="K219" s="14" t="s">
        <v>38</v>
      </c>
      <c r="L219" s="14" t="s">
        <v>39</v>
      </c>
      <c r="M219" s="14" t="s">
        <v>40</v>
      </c>
      <c r="N219" s="14" t="s">
        <v>38</v>
      </c>
      <c r="O219" s="14" t="s">
        <v>41</v>
      </c>
      <c r="P219" s="14">
        <v>74.8</v>
      </c>
      <c r="Q219" s="14">
        <v>40.9</v>
      </c>
      <c r="R219" s="14">
        <v>48</v>
      </c>
      <c r="S219" s="14">
        <v>1</v>
      </c>
      <c r="T219" s="14">
        <v>0</v>
      </c>
      <c r="U219" s="14" t="s">
        <v>42</v>
      </c>
      <c r="V219" s="14" t="s">
        <v>43</v>
      </c>
      <c r="W219" s="14" t="s">
        <v>44</v>
      </c>
      <c r="X219" s="14">
        <v>1</v>
      </c>
      <c r="Y219" s="14" t="s">
        <v>114</v>
      </c>
      <c r="Z219" s="17">
        <v>1.4583333333333333</v>
      </c>
      <c r="AA219" s="14">
        <v>1</v>
      </c>
      <c r="AB219" s="14">
        <v>4</v>
      </c>
      <c r="AC219" s="14">
        <v>0</v>
      </c>
      <c r="AD219" s="17">
        <f>IFERROR(Z219/(AA219*AB219)*AC219*AA219,"")</f>
        <v>0</v>
      </c>
      <c r="AE219" s="17">
        <f>Z219+AD219</f>
        <v>1.4583333333333333</v>
      </c>
      <c r="AF219" s="17"/>
      <c r="AG219" s="14">
        <f>AB219+AC219</f>
        <v>4</v>
      </c>
      <c r="AH219" s="18"/>
      <c r="AI219" s="19"/>
      <c r="AJ219" s="19"/>
      <c r="AK219" s="19"/>
      <c r="AL219" s="19"/>
      <c r="AM219" s="19"/>
    </row>
    <row r="220" spans="1:39" ht="15.75" customHeight="1">
      <c r="A220" s="2"/>
      <c r="B220" s="20" t="s">
        <v>488</v>
      </c>
      <c r="C220" s="14" t="s">
        <v>153</v>
      </c>
      <c r="D220" s="14">
        <v>27</v>
      </c>
      <c r="E220" s="14">
        <v>226</v>
      </c>
      <c r="F220" s="14">
        <v>12</v>
      </c>
      <c r="G220" s="15">
        <v>4.8</v>
      </c>
      <c r="H220" s="14" t="s">
        <v>58</v>
      </c>
      <c r="I220" s="14" t="s">
        <v>37</v>
      </c>
      <c r="J220" s="14" t="s">
        <v>38</v>
      </c>
      <c r="K220" s="14" t="s">
        <v>40</v>
      </c>
      <c r="L220" s="14" t="s">
        <v>39</v>
      </c>
      <c r="M220" s="14" t="s">
        <v>40</v>
      </c>
      <c r="N220" s="14" t="s">
        <v>38</v>
      </c>
      <c r="O220" s="14" t="s">
        <v>41</v>
      </c>
      <c r="P220" s="14">
        <v>74.8</v>
      </c>
      <c r="Q220" s="14">
        <v>40.9</v>
      </c>
      <c r="R220" s="14">
        <v>48</v>
      </c>
      <c r="S220" s="14">
        <v>1</v>
      </c>
      <c r="T220" s="14">
        <v>0</v>
      </c>
      <c r="U220" s="14" t="s">
        <v>42</v>
      </c>
      <c r="V220" s="14" t="s">
        <v>43</v>
      </c>
      <c r="W220" s="14" t="s">
        <v>44</v>
      </c>
      <c r="X220" s="14">
        <v>2</v>
      </c>
      <c r="Y220" s="14" t="s">
        <v>114</v>
      </c>
      <c r="Z220" s="17">
        <v>1.6666666666666667</v>
      </c>
      <c r="AA220" s="14">
        <v>1</v>
      </c>
      <c r="AB220" s="14">
        <v>5</v>
      </c>
      <c r="AC220" s="14">
        <v>0</v>
      </c>
      <c r="AD220" s="17">
        <f>IFERROR(Z220/(AA220*AB220)*AC220*AA220,"")</f>
        <v>0</v>
      </c>
      <c r="AE220" s="17">
        <f>Z220+AD220</f>
        <v>1.6666666666666667</v>
      </c>
      <c r="AF220" s="17"/>
      <c r="AG220" s="14">
        <f>AB220+AC220</f>
        <v>5</v>
      </c>
      <c r="AH220" s="18"/>
      <c r="AI220" s="19"/>
      <c r="AJ220" s="19"/>
      <c r="AK220" s="19"/>
      <c r="AL220" s="19"/>
      <c r="AM220" s="19"/>
    </row>
    <row r="221" spans="1:39" ht="15.75" customHeight="1">
      <c r="A221" s="2"/>
      <c r="B221" s="20" t="s">
        <v>489</v>
      </c>
      <c r="C221" s="14" t="s">
        <v>55</v>
      </c>
      <c r="D221" s="14">
        <v>26</v>
      </c>
      <c r="E221" s="14">
        <v>168</v>
      </c>
      <c r="F221" s="14">
        <v>13</v>
      </c>
      <c r="G221" s="15">
        <v>5.2</v>
      </c>
      <c r="H221" s="14" t="s">
        <v>58</v>
      </c>
      <c r="I221" s="14" t="s">
        <v>37</v>
      </c>
      <c r="J221" s="14" t="s">
        <v>38</v>
      </c>
      <c r="K221" s="14" t="s">
        <v>40</v>
      </c>
      <c r="L221" s="14" t="s">
        <v>39</v>
      </c>
      <c r="M221" s="14" t="s">
        <v>40</v>
      </c>
      <c r="N221" s="14" t="s">
        <v>40</v>
      </c>
      <c r="O221" s="14" t="s">
        <v>290</v>
      </c>
      <c r="P221" s="14">
        <v>74.8</v>
      </c>
      <c r="Q221" s="14">
        <v>40.9</v>
      </c>
      <c r="R221" s="14">
        <v>48</v>
      </c>
      <c r="S221" s="14">
        <v>1</v>
      </c>
      <c r="T221" s="14">
        <v>0</v>
      </c>
      <c r="U221" s="14" t="s">
        <v>42</v>
      </c>
      <c r="V221" s="14" t="s">
        <v>43</v>
      </c>
      <c r="W221" s="14" t="s">
        <v>44</v>
      </c>
      <c r="X221" s="14">
        <v>1</v>
      </c>
      <c r="Y221" s="14" t="s">
        <v>114</v>
      </c>
      <c r="Z221" s="17">
        <v>1.5208333333333333</v>
      </c>
      <c r="AA221" s="14">
        <v>1</v>
      </c>
      <c r="AB221" s="14">
        <v>5</v>
      </c>
      <c r="AC221" s="14">
        <v>0</v>
      </c>
      <c r="AD221" s="17">
        <f>IFERROR(Z221/(AA221*AB221)*AC221*AA221,"")</f>
        <v>0</v>
      </c>
      <c r="AE221" s="17">
        <f>Z221+AD221</f>
        <v>1.5208333333333333</v>
      </c>
      <c r="AF221" s="17"/>
      <c r="AG221" s="14">
        <f>AB221+AC221</f>
        <v>5</v>
      </c>
      <c r="AH221" s="18"/>
      <c r="AI221" s="19"/>
      <c r="AJ221" s="19"/>
      <c r="AK221" s="19"/>
      <c r="AL221" s="19"/>
      <c r="AM221" s="19"/>
    </row>
    <row r="222" spans="1:39" ht="15.75" customHeight="1">
      <c r="A222" s="2"/>
      <c r="B222" s="20" t="s">
        <v>490</v>
      </c>
      <c r="C222" s="14" t="s">
        <v>205</v>
      </c>
      <c r="D222" s="14">
        <v>33.700000000000003</v>
      </c>
      <c r="E222" s="14">
        <v>175</v>
      </c>
      <c r="F222" s="14">
        <v>16</v>
      </c>
      <c r="G222" s="15">
        <v>7.36</v>
      </c>
      <c r="H222" s="14" t="s">
        <v>58</v>
      </c>
      <c r="I222" s="14" t="s">
        <v>37</v>
      </c>
      <c r="J222" s="14" t="s">
        <v>38</v>
      </c>
      <c r="K222" s="14" t="s">
        <v>38</v>
      </c>
      <c r="L222" s="14" t="s">
        <v>39</v>
      </c>
      <c r="M222" s="14" t="s">
        <v>40</v>
      </c>
      <c r="N222" s="14" t="s">
        <v>38</v>
      </c>
      <c r="O222" s="14" t="s">
        <v>41</v>
      </c>
      <c r="P222" s="14">
        <v>68</v>
      </c>
      <c r="Q222" s="14">
        <v>47.4</v>
      </c>
      <c r="R222" s="14">
        <v>50</v>
      </c>
      <c r="S222" s="14">
        <v>1</v>
      </c>
      <c r="T222" s="14">
        <v>0</v>
      </c>
      <c r="U222" s="14" t="s">
        <v>42</v>
      </c>
      <c r="V222" s="14" t="s">
        <v>43</v>
      </c>
      <c r="W222" s="14" t="s">
        <v>62</v>
      </c>
      <c r="X222" s="14">
        <v>2</v>
      </c>
      <c r="Y222" s="14" t="s">
        <v>114</v>
      </c>
      <c r="Z222" s="17">
        <v>1.8541666666666667</v>
      </c>
      <c r="AA222" s="14">
        <v>1</v>
      </c>
      <c r="AB222" s="14">
        <v>5</v>
      </c>
      <c r="AC222" s="14">
        <v>0</v>
      </c>
      <c r="AD222" s="17">
        <f>IFERROR(Z222/(AA222*AB222)*AC222*AA222,"")</f>
        <v>0</v>
      </c>
      <c r="AE222" s="17">
        <f>Z222+AD222</f>
        <v>1.8541666666666667</v>
      </c>
      <c r="AF222" s="17"/>
      <c r="AG222" s="14">
        <f>AB222+AC222</f>
        <v>5</v>
      </c>
      <c r="AH222" s="18"/>
      <c r="AI222" s="19"/>
      <c r="AJ222" s="19"/>
      <c r="AK222" s="19"/>
      <c r="AL222" s="19"/>
      <c r="AM222" s="19"/>
    </row>
    <row r="223" spans="1:39" ht="15.75" customHeight="1">
      <c r="A223" s="2"/>
      <c r="B223" s="20" t="s">
        <v>491</v>
      </c>
      <c r="C223" s="14" t="s">
        <v>149</v>
      </c>
      <c r="D223" s="14">
        <v>18</v>
      </c>
      <c r="E223" s="14">
        <v>260</v>
      </c>
      <c r="F223" s="14">
        <v>18</v>
      </c>
      <c r="G223" s="15">
        <v>7.2</v>
      </c>
      <c r="H223" s="14" t="s">
        <v>58</v>
      </c>
      <c r="I223" s="14" t="s">
        <v>37</v>
      </c>
      <c r="J223" s="14" t="s">
        <v>38</v>
      </c>
      <c r="K223" s="14" t="s">
        <v>38</v>
      </c>
      <c r="L223" s="14" t="s">
        <v>50</v>
      </c>
      <c r="M223" s="14" t="s">
        <v>40</v>
      </c>
      <c r="N223" s="14" t="s">
        <v>38</v>
      </c>
      <c r="O223" s="14" t="s">
        <v>41</v>
      </c>
      <c r="P223" s="14">
        <v>74.8</v>
      </c>
      <c r="Q223" s="14">
        <v>40.9</v>
      </c>
      <c r="R223" s="14">
        <v>48</v>
      </c>
      <c r="S223" s="14">
        <v>1</v>
      </c>
      <c r="T223" s="14">
        <v>0</v>
      </c>
      <c r="U223" s="14" t="s">
        <v>42</v>
      </c>
      <c r="V223" s="14" t="s">
        <v>43</v>
      </c>
      <c r="W223" s="14" t="s">
        <v>44</v>
      </c>
      <c r="X223" s="14">
        <v>1</v>
      </c>
      <c r="Y223" s="14" t="s">
        <v>114</v>
      </c>
      <c r="Z223" s="17">
        <v>1.3854166666666667</v>
      </c>
      <c r="AA223" s="14">
        <v>1</v>
      </c>
      <c r="AB223" s="14">
        <v>4</v>
      </c>
      <c r="AC223" s="14">
        <v>0</v>
      </c>
      <c r="AD223" s="17">
        <f>IFERROR(Z223/(AA223*AB223)*AC223*AA223,"")</f>
        <v>0</v>
      </c>
      <c r="AE223" s="17">
        <f>Z223+AD223</f>
        <v>1.3854166666666667</v>
      </c>
      <c r="AF223" s="17"/>
      <c r="AG223" s="14">
        <f>AB223+AC223</f>
        <v>4</v>
      </c>
      <c r="AH223" s="18"/>
      <c r="AI223" s="19"/>
      <c r="AJ223" s="19"/>
      <c r="AK223" s="19"/>
      <c r="AL223" s="19"/>
      <c r="AM223" s="19"/>
    </row>
    <row r="224" spans="1:39" ht="15.75" customHeight="1">
      <c r="A224" s="2"/>
      <c r="B224" s="20" t="s">
        <v>492</v>
      </c>
      <c r="C224" s="14" t="s">
        <v>350</v>
      </c>
      <c r="D224" s="14">
        <v>18.399999999999999</v>
      </c>
      <c r="E224" s="14">
        <v>84</v>
      </c>
      <c r="F224" s="14">
        <v>33</v>
      </c>
      <c r="G224" s="15">
        <v>13.53</v>
      </c>
      <c r="H224" s="14" t="s">
        <v>58</v>
      </c>
      <c r="I224" s="14" t="s">
        <v>37</v>
      </c>
      <c r="J224" s="14" t="s">
        <v>40</v>
      </c>
      <c r="K224" s="14" t="s">
        <v>40</v>
      </c>
      <c r="L224" s="14" t="s">
        <v>122</v>
      </c>
      <c r="M224" s="14" t="s">
        <v>40</v>
      </c>
      <c r="N224" s="14" t="s">
        <v>40</v>
      </c>
      <c r="O224" s="14" t="s">
        <v>92</v>
      </c>
      <c r="P224" s="14">
        <v>69.37</v>
      </c>
      <c r="Q224" s="14">
        <v>44.65</v>
      </c>
      <c r="R224" s="14">
        <v>47</v>
      </c>
      <c r="S224" s="14">
        <v>1</v>
      </c>
      <c r="T224" s="14">
        <v>0</v>
      </c>
      <c r="U224" s="14" t="s">
        <v>123</v>
      </c>
      <c r="V224" s="14" t="s">
        <v>124</v>
      </c>
      <c r="W224" s="14" t="s">
        <v>85</v>
      </c>
      <c r="X224" s="14">
        <v>1</v>
      </c>
      <c r="Y224" s="14" t="s">
        <v>114</v>
      </c>
      <c r="Z224" s="17">
        <v>3.2604166666666665</v>
      </c>
      <c r="AA224" s="14">
        <v>2</v>
      </c>
      <c r="AB224" s="14">
        <v>5</v>
      </c>
      <c r="AC224" s="14">
        <v>0</v>
      </c>
      <c r="AD224" s="17">
        <f>IFERROR(Z224/(AA224*AB224)*AC224*AA224,"")</f>
        <v>0</v>
      </c>
      <c r="AE224" s="17">
        <f>Z224+AD224</f>
        <v>3.2604166666666665</v>
      </c>
      <c r="AF224" s="17"/>
      <c r="AG224" s="14">
        <f>AB224+AC224</f>
        <v>5</v>
      </c>
      <c r="AH224" s="18"/>
      <c r="AI224" s="19"/>
      <c r="AJ224" s="19"/>
      <c r="AK224" s="19"/>
      <c r="AL224" s="19"/>
      <c r="AM224" s="19"/>
    </row>
    <row r="225" spans="1:39" ht="15.75" customHeight="1">
      <c r="A225" s="2"/>
      <c r="B225" s="20" t="s">
        <v>493</v>
      </c>
      <c r="C225" s="14" t="s">
        <v>47</v>
      </c>
      <c r="D225" s="14">
        <v>18.399999999999999</v>
      </c>
      <c r="E225" s="14">
        <v>189.4</v>
      </c>
      <c r="F225" s="14">
        <v>9</v>
      </c>
      <c r="G225" s="15">
        <v>3.6</v>
      </c>
      <c r="H225" s="14" t="s">
        <v>58</v>
      </c>
      <c r="I225" s="14" t="s">
        <v>37</v>
      </c>
      <c r="J225" s="14" t="s">
        <v>38</v>
      </c>
      <c r="K225" s="14" t="s">
        <v>40</v>
      </c>
      <c r="L225" s="14" t="s">
        <v>39</v>
      </c>
      <c r="M225" s="14" t="s">
        <v>40</v>
      </c>
      <c r="N225" s="14" t="s">
        <v>38</v>
      </c>
      <c r="O225" s="14" t="s">
        <v>41</v>
      </c>
      <c r="P225" s="14">
        <v>74.8</v>
      </c>
      <c r="Q225" s="14">
        <v>40.9</v>
      </c>
      <c r="R225" s="14">
        <v>48</v>
      </c>
      <c r="S225" s="14">
        <v>1</v>
      </c>
      <c r="T225" s="14">
        <v>0</v>
      </c>
      <c r="U225" s="14" t="s">
        <v>42</v>
      </c>
      <c r="V225" s="14" t="s">
        <v>43</v>
      </c>
      <c r="W225" s="14" t="s">
        <v>85</v>
      </c>
      <c r="X225" s="14">
        <v>2</v>
      </c>
      <c r="Y225" s="14" t="s">
        <v>114</v>
      </c>
      <c r="Z225" s="17">
        <v>1.6770833333333333</v>
      </c>
      <c r="AA225" s="14">
        <v>1</v>
      </c>
      <c r="AB225" s="14">
        <v>5</v>
      </c>
      <c r="AC225" s="14">
        <v>0</v>
      </c>
      <c r="AD225" s="17">
        <f>IFERROR(Z225/(AA225*AB225)*AC225*AA225,"")</f>
        <v>0</v>
      </c>
      <c r="AE225" s="17">
        <f>Z225+AD225</f>
        <v>1.6770833333333333</v>
      </c>
      <c r="AF225" s="17"/>
      <c r="AG225" s="14">
        <f>AB225+AC225</f>
        <v>5</v>
      </c>
      <c r="AH225" s="18"/>
      <c r="AI225" s="19"/>
      <c r="AJ225" s="19"/>
      <c r="AK225" s="19"/>
      <c r="AL225" s="19"/>
      <c r="AM225" s="19"/>
    </row>
    <row r="226" spans="1:39" ht="15.75" customHeight="1">
      <c r="A226" s="2"/>
      <c r="B226" s="20" t="s">
        <v>494</v>
      </c>
      <c r="C226" s="14" t="s">
        <v>143</v>
      </c>
      <c r="D226" s="14">
        <v>30</v>
      </c>
      <c r="E226" s="14">
        <v>148</v>
      </c>
      <c r="F226" s="14">
        <v>26</v>
      </c>
      <c r="G226" s="15">
        <v>10.92</v>
      </c>
      <c r="H226" s="14" t="s">
        <v>58</v>
      </c>
      <c r="I226" s="14" t="s">
        <v>37</v>
      </c>
      <c r="J226" s="14" t="s">
        <v>38</v>
      </c>
      <c r="K226" s="14" t="s">
        <v>38</v>
      </c>
      <c r="L226" s="14" t="s">
        <v>39</v>
      </c>
      <c r="M226" s="14" t="s">
        <v>40</v>
      </c>
      <c r="N226" s="14" t="s">
        <v>40</v>
      </c>
      <c r="O226" s="14" t="s">
        <v>41</v>
      </c>
      <c r="P226" s="14">
        <v>73.400000000000006</v>
      </c>
      <c r="Q226" s="14">
        <v>40.9</v>
      </c>
      <c r="R226" s="14">
        <v>47.8</v>
      </c>
      <c r="S226" s="14">
        <v>2</v>
      </c>
      <c r="T226" s="14">
        <v>0</v>
      </c>
      <c r="U226" s="14" t="s">
        <v>42</v>
      </c>
      <c r="V226" s="14" t="s">
        <v>43</v>
      </c>
      <c r="W226" s="14" t="s">
        <v>44</v>
      </c>
      <c r="X226" s="14">
        <v>2</v>
      </c>
      <c r="Y226" s="14" t="s">
        <v>114</v>
      </c>
      <c r="Z226" s="17">
        <v>2.2604166666666665</v>
      </c>
      <c r="AA226" s="14">
        <v>1</v>
      </c>
      <c r="AB226" s="14">
        <v>5</v>
      </c>
      <c r="AC226" s="14">
        <v>0</v>
      </c>
      <c r="AD226" s="17">
        <f>IFERROR(Z226/(AA226*AB226)*AC226*AA226,"")</f>
        <v>0</v>
      </c>
      <c r="AE226" s="17">
        <f>Z226+AD226</f>
        <v>2.2604166666666665</v>
      </c>
      <c r="AF226" s="17"/>
      <c r="AG226" s="14">
        <f>AB226+AC226</f>
        <v>5</v>
      </c>
      <c r="AH226" s="18"/>
      <c r="AI226" s="19"/>
      <c r="AJ226" s="19"/>
      <c r="AK226" s="19"/>
      <c r="AL226" s="19"/>
      <c r="AM226" s="19"/>
    </row>
    <row r="227" spans="1:39" ht="15.75" customHeight="1">
      <c r="A227" s="2"/>
      <c r="B227" s="20" t="s">
        <v>495</v>
      </c>
      <c r="C227" s="14" t="s">
        <v>325</v>
      </c>
      <c r="D227" s="14" t="s">
        <v>496</v>
      </c>
      <c r="E227" s="14" t="s">
        <v>497</v>
      </c>
      <c r="F227" s="14">
        <v>32</v>
      </c>
      <c r="G227" s="15">
        <v>12.8</v>
      </c>
      <c r="H227" s="14" t="s">
        <v>58</v>
      </c>
      <c r="I227" s="14" t="s">
        <v>37</v>
      </c>
      <c r="J227" s="14" t="s">
        <v>38</v>
      </c>
      <c r="K227" s="14" t="s">
        <v>38</v>
      </c>
      <c r="L227" s="14" t="s">
        <v>39</v>
      </c>
      <c r="M227" s="14" t="s">
        <v>40</v>
      </c>
      <c r="N227" s="14" t="s">
        <v>40</v>
      </c>
      <c r="O227" s="14" t="s">
        <v>100</v>
      </c>
      <c r="P227" s="14">
        <v>74.8</v>
      </c>
      <c r="Q227" s="14">
        <v>40.9</v>
      </c>
      <c r="R227" s="14">
        <v>48</v>
      </c>
      <c r="S227" s="14">
        <v>2</v>
      </c>
      <c r="T227" s="14">
        <v>0</v>
      </c>
      <c r="U227" s="14" t="s">
        <v>42</v>
      </c>
      <c r="V227" s="14" t="s">
        <v>43</v>
      </c>
      <c r="W227" s="14" t="s">
        <v>44</v>
      </c>
      <c r="X227" s="14">
        <v>1</v>
      </c>
      <c r="Y227" s="14" t="s">
        <v>114</v>
      </c>
      <c r="Z227" s="17">
        <v>2.8958333333333335</v>
      </c>
      <c r="AA227" s="14">
        <v>2</v>
      </c>
      <c r="AB227" s="14">
        <v>5</v>
      </c>
      <c r="AC227" s="14">
        <v>0</v>
      </c>
      <c r="AD227" s="17">
        <f>IFERROR(Z227/(AA227*AB227)*AC227*AA227,"")</f>
        <v>0</v>
      </c>
      <c r="AE227" s="17">
        <f>Z227+AD227</f>
        <v>2.8958333333333335</v>
      </c>
      <c r="AF227" s="17"/>
      <c r="AG227" s="14">
        <f>AB227+AC227</f>
        <v>5</v>
      </c>
      <c r="AH227" s="18"/>
      <c r="AI227" s="19"/>
      <c r="AJ227" s="19"/>
      <c r="AK227" s="19"/>
      <c r="AL227" s="19"/>
      <c r="AM227" s="19"/>
    </row>
    <row r="228" spans="1:39" ht="15.75" customHeight="1">
      <c r="A228" s="2"/>
      <c r="B228" s="20" t="s">
        <v>498</v>
      </c>
      <c r="C228" s="14" t="s">
        <v>306</v>
      </c>
      <c r="D228" s="14">
        <v>34</v>
      </c>
      <c r="E228" s="14">
        <v>180</v>
      </c>
      <c r="F228" s="14">
        <v>18</v>
      </c>
      <c r="G228" s="15">
        <v>8.2799999999999994</v>
      </c>
      <c r="H228" s="14" t="s">
        <v>58</v>
      </c>
      <c r="I228" s="14" t="s">
        <v>37</v>
      </c>
      <c r="J228" s="14" t="s">
        <v>38</v>
      </c>
      <c r="K228" s="14" t="s">
        <v>40</v>
      </c>
      <c r="L228" s="14" t="s">
        <v>39</v>
      </c>
      <c r="M228" s="14" t="s">
        <v>40</v>
      </c>
      <c r="N228" s="14" t="s">
        <v>40</v>
      </c>
      <c r="O228" s="14" t="s">
        <v>41</v>
      </c>
      <c r="P228" s="14">
        <v>68</v>
      </c>
      <c r="Q228" s="14">
        <v>47.4</v>
      </c>
      <c r="R228" s="14">
        <v>50</v>
      </c>
      <c r="S228" s="14">
        <v>1</v>
      </c>
      <c r="T228" s="14">
        <v>0</v>
      </c>
      <c r="U228" s="14" t="s">
        <v>42</v>
      </c>
      <c r="V228" s="14" t="s">
        <v>43</v>
      </c>
      <c r="W228" s="14" t="s">
        <v>44</v>
      </c>
      <c r="X228" s="14">
        <v>2</v>
      </c>
      <c r="Y228" s="14" t="s">
        <v>114</v>
      </c>
      <c r="Z228" s="17">
        <v>1.9166666666666667</v>
      </c>
      <c r="AA228" s="14">
        <v>1</v>
      </c>
      <c r="AB228" s="14">
        <v>5</v>
      </c>
      <c r="AC228" s="14">
        <v>0</v>
      </c>
      <c r="AD228" s="17">
        <f>IFERROR(Z228/(AA228*AB228)*AC228*AA228,"")</f>
        <v>0</v>
      </c>
      <c r="AE228" s="17">
        <f>Z228+AD228</f>
        <v>1.9166666666666667</v>
      </c>
      <c r="AF228" s="17"/>
      <c r="AG228" s="14">
        <f>AB228+AC228</f>
        <v>5</v>
      </c>
      <c r="AH228" s="18"/>
      <c r="AI228" s="19"/>
      <c r="AJ228" s="19"/>
      <c r="AK228" s="19"/>
      <c r="AL228" s="19"/>
      <c r="AM228" s="19"/>
    </row>
    <row r="229" spans="1:39" ht="15.75" customHeight="1">
      <c r="A229" s="2"/>
      <c r="B229" s="20" t="s">
        <v>499</v>
      </c>
      <c r="C229" s="14" t="s">
        <v>109</v>
      </c>
      <c r="D229" s="14">
        <v>33</v>
      </c>
      <c r="E229" s="14" t="s">
        <v>500</v>
      </c>
      <c r="F229" s="14">
        <v>18</v>
      </c>
      <c r="G229" s="15">
        <v>7.2</v>
      </c>
      <c r="H229" s="14" t="s">
        <v>58</v>
      </c>
      <c r="I229" s="14" t="s">
        <v>37</v>
      </c>
      <c r="J229" s="14" t="s">
        <v>38</v>
      </c>
      <c r="K229" s="14" t="s">
        <v>38</v>
      </c>
      <c r="L229" s="14" t="s">
        <v>39</v>
      </c>
      <c r="M229" s="14" t="s">
        <v>40</v>
      </c>
      <c r="N229" s="14" t="s">
        <v>38</v>
      </c>
      <c r="O229" s="14" t="s">
        <v>41</v>
      </c>
      <c r="P229" s="14">
        <v>74.8</v>
      </c>
      <c r="Q229" s="14">
        <v>40.9</v>
      </c>
      <c r="R229" s="14">
        <v>48</v>
      </c>
      <c r="S229" s="14">
        <v>3</v>
      </c>
      <c r="T229" s="14">
        <v>0</v>
      </c>
      <c r="U229" s="14" t="s">
        <v>42</v>
      </c>
      <c r="V229" s="14" t="s">
        <v>43</v>
      </c>
      <c r="W229" s="14" t="s">
        <v>62</v>
      </c>
      <c r="X229" s="14">
        <v>2</v>
      </c>
      <c r="Y229" s="14" t="s">
        <v>114</v>
      </c>
      <c r="Z229" s="17">
        <v>2.7916666666666665</v>
      </c>
      <c r="AA229" s="14">
        <v>3</v>
      </c>
      <c r="AB229" s="14">
        <v>5</v>
      </c>
      <c r="AC229" s="14">
        <v>0</v>
      </c>
      <c r="AD229" s="17">
        <f>IFERROR(Z229/(AA229*AB229)*AC229*AA229,"")</f>
        <v>0</v>
      </c>
      <c r="AE229" s="17">
        <f>Z229+AD229</f>
        <v>2.7916666666666665</v>
      </c>
      <c r="AF229" s="17"/>
      <c r="AG229" s="14">
        <f>AB229+AC229</f>
        <v>5</v>
      </c>
      <c r="AH229" s="18"/>
      <c r="AI229" s="19"/>
      <c r="AJ229" s="19"/>
      <c r="AK229" s="19"/>
      <c r="AL229" s="19"/>
      <c r="AM229" s="19"/>
    </row>
    <row r="230" spans="1:39" ht="15.75" customHeight="1">
      <c r="A230" s="2"/>
      <c r="B230" s="20" t="s">
        <v>501</v>
      </c>
      <c r="C230" s="14" t="s">
        <v>183</v>
      </c>
      <c r="D230" s="14">
        <v>37.5</v>
      </c>
      <c r="E230" s="14">
        <v>138</v>
      </c>
      <c r="F230" s="14">
        <v>8</v>
      </c>
      <c r="G230" s="15">
        <v>3.2</v>
      </c>
      <c r="H230" s="14" t="s">
        <v>58</v>
      </c>
      <c r="I230" s="14" t="s">
        <v>37</v>
      </c>
      <c r="J230" s="14" t="s">
        <v>38</v>
      </c>
      <c r="K230" s="14" t="s">
        <v>38</v>
      </c>
      <c r="L230" s="14" t="s">
        <v>50</v>
      </c>
      <c r="M230" s="14" t="s">
        <v>38</v>
      </c>
      <c r="N230" s="14" t="s">
        <v>38</v>
      </c>
      <c r="O230" s="14" t="s">
        <v>41</v>
      </c>
      <c r="P230" s="14">
        <v>74.8</v>
      </c>
      <c r="Q230" s="14">
        <v>40.9</v>
      </c>
      <c r="R230" s="14">
        <v>48</v>
      </c>
      <c r="S230" s="14">
        <v>1</v>
      </c>
      <c r="T230" s="14">
        <v>12</v>
      </c>
      <c r="U230" s="14" t="s">
        <v>42</v>
      </c>
      <c r="V230" s="14" t="s">
        <v>424</v>
      </c>
      <c r="W230" s="14" t="s">
        <v>85</v>
      </c>
      <c r="X230" s="14">
        <v>1</v>
      </c>
      <c r="Y230" s="14" t="s">
        <v>114</v>
      </c>
      <c r="Z230" s="17">
        <v>1.6770833333333333</v>
      </c>
      <c r="AA230" s="14">
        <v>1</v>
      </c>
      <c r="AB230" s="14">
        <v>5</v>
      </c>
      <c r="AC230" s="14">
        <v>0</v>
      </c>
      <c r="AD230" s="17">
        <f>IFERROR(Z230/(AA230*AB230)*AC230*AA230,"")</f>
        <v>0</v>
      </c>
      <c r="AE230" s="17">
        <f>Z230+AD230</f>
        <v>1.6770833333333333</v>
      </c>
      <c r="AF230" s="17"/>
      <c r="AG230" s="14">
        <f>AB230+AC230</f>
        <v>5</v>
      </c>
      <c r="AH230" s="18"/>
      <c r="AI230" s="19"/>
      <c r="AJ230" s="19"/>
      <c r="AK230" s="19"/>
      <c r="AL230" s="19"/>
      <c r="AM230" s="19"/>
    </row>
    <row r="231" spans="1:39" ht="15.75" customHeight="1">
      <c r="A231" s="2"/>
      <c r="B231" s="20" t="s">
        <v>502</v>
      </c>
      <c r="C231" s="14" t="s">
        <v>109</v>
      </c>
      <c r="D231" s="14">
        <v>27</v>
      </c>
      <c r="E231" s="14" t="s">
        <v>503</v>
      </c>
      <c r="F231" s="14">
        <v>21</v>
      </c>
      <c r="G231" s="15">
        <v>9.66</v>
      </c>
      <c r="H231" s="14" t="s">
        <v>58</v>
      </c>
      <c r="I231" s="14" t="s">
        <v>37</v>
      </c>
      <c r="J231" s="14" t="s">
        <v>38</v>
      </c>
      <c r="K231" s="14" t="s">
        <v>40</v>
      </c>
      <c r="L231" s="14" t="s">
        <v>39</v>
      </c>
      <c r="M231" s="14" t="s">
        <v>40</v>
      </c>
      <c r="N231" s="14" t="s">
        <v>38</v>
      </c>
      <c r="O231" s="14" t="s">
        <v>41</v>
      </c>
      <c r="P231" s="14">
        <v>68</v>
      </c>
      <c r="Q231" s="14">
        <v>47.4</v>
      </c>
      <c r="R231" s="14">
        <v>50</v>
      </c>
      <c r="S231" s="14">
        <v>2</v>
      </c>
      <c r="T231" s="14">
        <v>0</v>
      </c>
      <c r="U231" s="14" t="s">
        <v>42</v>
      </c>
      <c r="V231" s="14" t="s">
        <v>43</v>
      </c>
      <c r="W231" s="14" t="s">
        <v>44</v>
      </c>
      <c r="X231" s="14">
        <v>1</v>
      </c>
      <c r="Y231" s="14" t="s">
        <v>114</v>
      </c>
      <c r="Z231" s="17">
        <v>2.0625</v>
      </c>
      <c r="AA231" s="14">
        <v>2</v>
      </c>
      <c r="AB231" s="14">
        <v>5</v>
      </c>
      <c r="AC231" s="14">
        <v>0</v>
      </c>
      <c r="AD231" s="17">
        <f>IFERROR(Z231/(AA231*AB231)*AC231*AA231,"")</f>
        <v>0</v>
      </c>
      <c r="AE231" s="17">
        <f>Z231+AD231</f>
        <v>2.0625</v>
      </c>
      <c r="AF231" s="17"/>
      <c r="AG231" s="14">
        <f>AB231+AC231</f>
        <v>5</v>
      </c>
      <c r="AH231" s="18"/>
      <c r="AI231" s="19"/>
      <c r="AJ231" s="19"/>
      <c r="AK231" s="19"/>
      <c r="AL231" s="19"/>
      <c r="AM231" s="19"/>
    </row>
    <row r="232" spans="1:39" ht="15.75" customHeight="1">
      <c r="A232" s="2"/>
      <c r="B232" s="20" t="s">
        <v>504</v>
      </c>
      <c r="C232" s="14" t="s">
        <v>149</v>
      </c>
      <c r="D232" s="14">
        <v>35</v>
      </c>
      <c r="E232" s="14">
        <v>90</v>
      </c>
      <c r="F232" s="14">
        <v>20</v>
      </c>
      <c r="G232" s="15">
        <v>8</v>
      </c>
      <c r="H232" s="14" t="s">
        <v>58</v>
      </c>
      <c r="I232" s="14" t="s">
        <v>37</v>
      </c>
      <c r="J232" s="14" t="s">
        <v>40</v>
      </c>
      <c r="K232" s="14" t="s">
        <v>40</v>
      </c>
      <c r="L232" s="14" t="s">
        <v>39</v>
      </c>
      <c r="M232" s="14" t="s">
        <v>40</v>
      </c>
      <c r="N232" s="14" t="s">
        <v>38</v>
      </c>
      <c r="O232" s="14" t="s">
        <v>41</v>
      </c>
      <c r="P232" s="14">
        <v>74.8</v>
      </c>
      <c r="Q232" s="14">
        <v>40.9</v>
      </c>
      <c r="R232" s="14">
        <v>48</v>
      </c>
      <c r="S232" s="14">
        <v>1</v>
      </c>
      <c r="T232" s="14">
        <v>0</v>
      </c>
      <c r="U232" s="14" t="s">
        <v>42</v>
      </c>
      <c r="V232" s="14" t="s">
        <v>43</v>
      </c>
      <c r="W232" s="14" t="s">
        <v>62</v>
      </c>
      <c r="X232" s="14">
        <v>2</v>
      </c>
      <c r="Y232" s="14" t="s">
        <v>147</v>
      </c>
      <c r="Z232" s="17">
        <v>1.21875</v>
      </c>
      <c r="AA232" s="14">
        <v>1</v>
      </c>
      <c r="AB232" s="14">
        <v>3</v>
      </c>
      <c r="AC232" s="14">
        <v>0</v>
      </c>
      <c r="AD232" s="17">
        <f>IFERROR(Z232/(AA232*AB232)*AC232*AA232,"")</f>
        <v>0</v>
      </c>
      <c r="AE232" s="17">
        <f>Z232+AD232</f>
        <v>1.21875</v>
      </c>
      <c r="AF232" s="17"/>
      <c r="AG232" s="14">
        <f>AB232+AC232</f>
        <v>3</v>
      </c>
      <c r="AH232" s="18"/>
      <c r="AI232" s="19"/>
      <c r="AJ232" s="19"/>
      <c r="AK232" s="19"/>
      <c r="AL232" s="19"/>
      <c r="AM232" s="19"/>
    </row>
    <row r="233" spans="1:39" ht="15.75" customHeight="1">
      <c r="A233" s="2"/>
      <c r="B233" s="20" t="s">
        <v>505</v>
      </c>
      <c r="C233" s="14" t="s">
        <v>166</v>
      </c>
      <c r="D233" s="14" t="s">
        <v>506</v>
      </c>
      <c r="E233" s="14" t="s">
        <v>503</v>
      </c>
      <c r="F233" s="14">
        <v>33</v>
      </c>
      <c r="G233" s="15">
        <v>13.53</v>
      </c>
      <c r="H233" s="14" t="s">
        <v>58</v>
      </c>
      <c r="I233" s="14" t="s">
        <v>37</v>
      </c>
      <c r="J233" s="14" t="s">
        <v>38</v>
      </c>
      <c r="K233" s="14" t="s">
        <v>40</v>
      </c>
      <c r="L233" s="14" t="s">
        <v>39</v>
      </c>
      <c r="M233" s="14" t="s">
        <v>40</v>
      </c>
      <c r="N233" s="14" t="s">
        <v>38</v>
      </c>
      <c r="O233" s="14" t="s">
        <v>53</v>
      </c>
      <c r="P233" s="14">
        <v>69.37</v>
      </c>
      <c r="Q233" s="14">
        <v>44.65</v>
      </c>
      <c r="R233" s="14">
        <v>47</v>
      </c>
      <c r="S233" s="14">
        <v>2</v>
      </c>
      <c r="T233" s="14">
        <v>0</v>
      </c>
      <c r="U233" s="14" t="s">
        <v>42</v>
      </c>
      <c r="V233" s="14" t="s">
        <v>43</v>
      </c>
      <c r="W233" s="14" t="s">
        <v>44</v>
      </c>
      <c r="X233" s="14">
        <v>1</v>
      </c>
      <c r="Y233" s="14" t="s">
        <v>147</v>
      </c>
      <c r="Z233" s="17">
        <v>3.7291666666666665</v>
      </c>
      <c r="AA233" s="14">
        <v>2</v>
      </c>
      <c r="AB233" s="14">
        <v>5</v>
      </c>
      <c r="AC233" s="14">
        <v>0</v>
      </c>
      <c r="AD233" s="17">
        <f>IFERROR(Z233/(AA233*AB233)*AC233*AA233,"")</f>
        <v>0</v>
      </c>
      <c r="AE233" s="17">
        <f>Z233+AD233</f>
        <v>3.7291666666666665</v>
      </c>
      <c r="AF233" s="17"/>
      <c r="AG233" s="14">
        <f>AB233+AC233</f>
        <v>5</v>
      </c>
      <c r="AH233" s="18"/>
      <c r="AI233" s="19"/>
      <c r="AJ233" s="19"/>
      <c r="AK233" s="19"/>
      <c r="AL233" s="19"/>
      <c r="AM233" s="19"/>
    </row>
    <row r="234" spans="1:39" ht="15.75" customHeight="1">
      <c r="A234" s="2"/>
      <c r="B234" s="20" t="s">
        <v>507</v>
      </c>
      <c r="C234" s="14" t="s">
        <v>77</v>
      </c>
      <c r="D234" s="14">
        <v>18</v>
      </c>
      <c r="E234" s="14" t="s">
        <v>508</v>
      </c>
      <c r="F234" s="14">
        <v>26</v>
      </c>
      <c r="G234" s="15">
        <v>10.4</v>
      </c>
      <c r="H234" s="14" t="s">
        <v>58</v>
      </c>
      <c r="I234" s="14" t="s">
        <v>37</v>
      </c>
      <c r="J234" s="14" t="s">
        <v>38</v>
      </c>
      <c r="K234" s="14" t="s">
        <v>38</v>
      </c>
      <c r="L234" s="14" t="s">
        <v>39</v>
      </c>
      <c r="M234" s="14" t="s">
        <v>40</v>
      </c>
      <c r="N234" s="14" t="s">
        <v>40</v>
      </c>
      <c r="O234" s="14" t="s">
        <v>41</v>
      </c>
      <c r="P234" s="14">
        <v>74.8</v>
      </c>
      <c r="Q234" s="14">
        <v>40.9</v>
      </c>
      <c r="R234" s="14">
        <v>48</v>
      </c>
      <c r="S234" s="14">
        <v>3</v>
      </c>
      <c r="T234" s="14">
        <v>0</v>
      </c>
      <c r="U234" s="14" t="s">
        <v>42</v>
      </c>
      <c r="V234" s="14" t="s">
        <v>43</v>
      </c>
      <c r="W234" s="14" t="s">
        <v>44</v>
      </c>
      <c r="X234" s="14">
        <v>2</v>
      </c>
      <c r="Y234" s="14" t="s">
        <v>114</v>
      </c>
      <c r="Z234" s="17">
        <v>1.6041666666666667</v>
      </c>
      <c r="AA234" s="14">
        <v>1</v>
      </c>
      <c r="AB234" s="14">
        <v>4</v>
      </c>
      <c r="AC234" s="14">
        <v>0</v>
      </c>
      <c r="AD234" s="17">
        <f>IFERROR(Z234/(AA234*AB234)*AC234*AA234,"")</f>
        <v>0</v>
      </c>
      <c r="AE234" s="17">
        <f>Z234+AD234</f>
        <v>1.6041666666666667</v>
      </c>
      <c r="AF234" s="17"/>
      <c r="AG234" s="14">
        <f>AB234+AC234</f>
        <v>4</v>
      </c>
      <c r="AH234" s="18"/>
      <c r="AI234" s="19"/>
      <c r="AJ234" s="19"/>
      <c r="AK234" s="19"/>
      <c r="AL234" s="19"/>
      <c r="AM234" s="19"/>
    </row>
    <row r="235" spans="1:39" ht="15.75" customHeight="1">
      <c r="A235" s="2"/>
      <c r="B235" s="20" t="s">
        <v>509</v>
      </c>
      <c r="C235" s="14" t="s">
        <v>162</v>
      </c>
      <c r="D235" s="14">
        <v>37</v>
      </c>
      <c r="E235" s="14">
        <v>180</v>
      </c>
      <c r="F235" s="14">
        <v>14</v>
      </c>
      <c r="G235" s="15">
        <v>5.6</v>
      </c>
      <c r="H235" s="14" t="s">
        <v>58</v>
      </c>
      <c r="I235" s="14" t="s">
        <v>37</v>
      </c>
      <c r="J235" s="14" t="s">
        <v>38</v>
      </c>
      <c r="K235" s="14" t="s">
        <v>40</v>
      </c>
      <c r="L235" s="14" t="s">
        <v>39</v>
      </c>
      <c r="M235" s="14" t="s">
        <v>40</v>
      </c>
      <c r="N235" s="14" t="s">
        <v>38</v>
      </c>
      <c r="O235" s="14" t="s">
        <v>41</v>
      </c>
      <c r="P235" s="14">
        <v>74.8</v>
      </c>
      <c r="Q235" s="14">
        <v>40.9</v>
      </c>
      <c r="R235" s="14">
        <v>48</v>
      </c>
      <c r="S235" s="14">
        <v>1</v>
      </c>
      <c r="T235" s="14">
        <v>0</v>
      </c>
      <c r="U235" s="14" t="s">
        <v>42</v>
      </c>
      <c r="V235" s="14" t="s">
        <v>43</v>
      </c>
      <c r="W235" s="14" t="s">
        <v>62</v>
      </c>
      <c r="X235" s="14">
        <v>2</v>
      </c>
      <c r="Y235" s="14" t="s">
        <v>147</v>
      </c>
      <c r="Z235" s="17">
        <v>1.8125</v>
      </c>
      <c r="AA235" s="14">
        <v>1</v>
      </c>
      <c r="AB235" s="14">
        <v>5</v>
      </c>
      <c r="AC235" s="14">
        <v>0</v>
      </c>
      <c r="AD235" s="17">
        <f>IFERROR(Z235/(AA235*AB235)*AC235*AA235,"")</f>
        <v>0</v>
      </c>
      <c r="AE235" s="17">
        <f>Z235+AD235</f>
        <v>1.8125</v>
      </c>
      <c r="AF235" s="17"/>
      <c r="AG235" s="14">
        <f>AB235+AC235</f>
        <v>5</v>
      </c>
      <c r="AH235" s="18"/>
      <c r="AI235" s="19"/>
      <c r="AJ235" s="19"/>
      <c r="AK235" s="19"/>
      <c r="AL235" s="19"/>
      <c r="AM235" s="19"/>
    </row>
    <row r="236" spans="1:39" ht="15.75" customHeight="1">
      <c r="A236" s="2"/>
      <c r="B236" s="20" t="s">
        <v>510</v>
      </c>
      <c r="C236" s="14" t="s">
        <v>198</v>
      </c>
      <c r="D236" s="14">
        <v>11</v>
      </c>
      <c r="E236" s="14">
        <v>181</v>
      </c>
      <c r="F236" s="14">
        <v>18</v>
      </c>
      <c r="G236" s="15">
        <v>7.2</v>
      </c>
      <c r="H236" s="14" t="s">
        <v>58</v>
      </c>
      <c r="I236" s="14" t="s">
        <v>37</v>
      </c>
      <c r="J236" s="14" t="s">
        <v>38</v>
      </c>
      <c r="K236" s="14" t="s">
        <v>40</v>
      </c>
      <c r="L236" s="14" t="s">
        <v>39</v>
      </c>
      <c r="M236" s="14" t="s">
        <v>40</v>
      </c>
      <c r="N236" s="14" t="s">
        <v>38</v>
      </c>
      <c r="O236" s="14" t="s">
        <v>41</v>
      </c>
      <c r="P236" s="14">
        <v>74.8</v>
      </c>
      <c r="Q236" s="14">
        <v>40.9</v>
      </c>
      <c r="R236" s="14">
        <v>48</v>
      </c>
      <c r="S236" s="14">
        <v>2</v>
      </c>
      <c r="T236" s="14">
        <v>0</v>
      </c>
      <c r="U236" s="14" t="s">
        <v>42</v>
      </c>
      <c r="V236" s="14" t="s">
        <v>43</v>
      </c>
      <c r="W236" s="14" t="s">
        <v>44</v>
      </c>
      <c r="X236" s="14">
        <v>2</v>
      </c>
      <c r="Y236" s="14" t="s">
        <v>114</v>
      </c>
      <c r="Z236" s="17">
        <v>1.7604166666666667</v>
      </c>
      <c r="AA236" s="14">
        <v>1</v>
      </c>
      <c r="AB236" s="14">
        <v>5</v>
      </c>
      <c r="AC236" s="14">
        <v>0</v>
      </c>
      <c r="AD236" s="17">
        <f>IFERROR(Z236/(AA236*AB236)*AC236*AA236,"")</f>
        <v>0</v>
      </c>
      <c r="AE236" s="17">
        <f>Z236+AD236</f>
        <v>1.7604166666666667</v>
      </c>
      <c r="AF236" s="17"/>
      <c r="AG236" s="14">
        <f>AB236+AC236</f>
        <v>5</v>
      </c>
      <c r="AH236" s="18"/>
      <c r="AI236" s="19"/>
      <c r="AJ236" s="19"/>
      <c r="AK236" s="19"/>
      <c r="AL236" s="19"/>
      <c r="AM236" s="19"/>
    </row>
    <row r="237" spans="1:39" ht="15.75" customHeight="1">
      <c r="A237" s="2"/>
      <c r="B237" s="20" t="s">
        <v>511</v>
      </c>
      <c r="C237" s="14" t="s">
        <v>480</v>
      </c>
      <c r="D237" s="14" t="s">
        <v>512</v>
      </c>
      <c r="E237" s="14" t="s">
        <v>513</v>
      </c>
      <c r="F237" s="14">
        <v>10</v>
      </c>
      <c r="G237" s="15">
        <v>4</v>
      </c>
      <c r="H237" s="14" t="s">
        <v>58</v>
      </c>
      <c r="I237" s="14" t="s">
        <v>37</v>
      </c>
      <c r="J237" s="14" t="s">
        <v>38</v>
      </c>
      <c r="K237" s="14" t="s">
        <v>38</v>
      </c>
      <c r="L237" s="14" t="s">
        <v>39</v>
      </c>
      <c r="M237" s="14" t="s">
        <v>40</v>
      </c>
      <c r="N237" s="14" t="s">
        <v>38</v>
      </c>
      <c r="O237" s="14" t="s">
        <v>41</v>
      </c>
      <c r="P237" s="14">
        <v>74.8</v>
      </c>
      <c r="Q237" s="14">
        <v>40.9</v>
      </c>
      <c r="R237" s="14">
        <v>48</v>
      </c>
      <c r="S237" s="14">
        <v>3</v>
      </c>
      <c r="T237" s="14">
        <v>0</v>
      </c>
      <c r="U237" s="14" t="s">
        <v>42</v>
      </c>
      <c r="V237" s="14" t="s">
        <v>424</v>
      </c>
      <c r="W237" s="14" t="s">
        <v>44</v>
      </c>
      <c r="X237" s="14">
        <v>1</v>
      </c>
      <c r="Y237" s="14" t="s">
        <v>114</v>
      </c>
      <c r="Z237" s="17">
        <v>1.25</v>
      </c>
      <c r="AA237" s="14">
        <v>1</v>
      </c>
      <c r="AB237" s="14">
        <v>4</v>
      </c>
      <c r="AC237" s="14">
        <v>0</v>
      </c>
      <c r="AD237" s="17">
        <f>IFERROR(Z237/(AA237*AB237)*AC237*AA237,"")</f>
        <v>0</v>
      </c>
      <c r="AE237" s="17">
        <f>Z237+AD237</f>
        <v>1.25</v>
      </c>
      <c r="AF237" s="17"/>
      <c r="AG237" s="14">
        <f>AB237+AC237</f>
        <v>4</v>
      </c>
      <c r="AH237" s="18"/>
      <c r="AI237" s="19"/>
      <c r="AJ237" s="19"/>
      <c r="AK237" s="19"/>
      <c r="AL237" s="19"/>
      <c r="AM237" s="19"/>
    </row>
    <row r="238" spans="1:39" ht="15.75" customHeight="1">
      <c r="A238" s="2"/>
      <c r="B238" s="20" t="s">
        <v>514</v>
      </c>
      <c r="C238" s="14" t="s">
        <v>285</v>
      </c>
      <c r="D238" s="14">
        <v>18.399999999999999</v>
      </c>
      <c r="E238" s="14" t="s">
        <v>515</v>
      </c>
      <c r="F238" s="14">
        <v>26</v>
      </c>
      <c r="G238" s="15">
        <v>10.14</v>
      </c>
      <c r="H238" s="14" t="s">
        <v>58</v>
      </c>
      <c r="I238" s="14" t="s">
        <v>37</v>
      </c>
      <c r="J238" s="14" t="s">
        <v>38</v>
      </c>
      <c r="K238" s="14" t="s">
        <v>38</v>
      </c>
      <c r="L238" s="14" t="s">
        <v>39</v>
      </c>
      <c r="M238" s="14" t="s">
        <v>40</v>
      </c>
      <c r="N238" s="14" t="s">
        <v>40</v>
      </c>
      <c r="O238" s="14" t="s">
        <v>41</v>
      </c>
      <c r="P238" s="14">
        <v>69.06</v>
      </c>
      <c r="Q238" s="14">
        <v>43.15</v>
      </c>
      <c r="R238" s="14">
        <v>46.3</v>
      </c>
      <c r="S238" s="14">
        <v>2</v>
      </c>
      <c r="T238" s="14">
        <v>0</v>
      </c>
      <c r="U238" s="14" t="s">
        <v>42</v>
      </c>
      <c r="V238" s="14" t="s">
        <v>43</v>
      </c>
      <c r="W238" s="14" t="s">
        <v>44</v>
      </c>
      <c r="X238" s="14">
        <v>1</v>
      </c>
      <c r="Y238" s="14" t="s">
        <v>147</v>
      </c>
      <c r="Z238" s="17">
        <v>1.1458333333333333</v>
      </c>
      <c r="AA238" s="14">
        <v>1</v>
      </c>
      <c r="AB238" s="14">
        <v>3</v>
      </c>
      <c r="AC238" s="14">
        <v>0</v>
      </c>
      <c r="AD238" s="17">
        <f>IFERROR(Z238/(AA238*AB238)*AC238*AA238,"")</f>
        <v>0</v>
      </c>
      <c r="AE238" s="17">
        <f>Z238+AD238</f>
        <v>1.1458333333333333</v>
      </c>
      <c r="AF238" s="17"/>
      <c r="AG238" s="14">
        <f>AB238+AC238</f>
        <v>3</v>
      </c>
      <c r="AH238" s="18"/>
      <c r="AI238" s="19"/>
      <c r="AJ238" s="19"/>
      <c r="AK238" s="19"/>
      <c r="AL238" s="19"/>
      <c r="AM238" s="19"/>
    </row>
    <row r="239" spans="1:39" ht="15.75" customHeight="1">
      <c r="A239" s="2"/>
      <c r="B239" s="20" t="s">
        <v>516</v>
      </c>
      <c r="C239" s="14" t="s">
        <v>102</v>
      </c>
      <c r="D239" s="14">
        <v>19.3</v>
      </c>
      <c r="E239" s="14" t="s">
        <v>517</v>
      </c>
      <c r="F239" s="14">
        <v>17</v>
      </c>
      <c r="G239" s="15">
        <v>6.8</v>
      </c>
      <c r="H239" s="14" t="s">
        <v>58</v>
      </c>
      <c r="I239" s="14" t="s">
        <v>37</v>
      </c>
      <c r="J239" s="14" t="s">
        <v>40</v>
      </c>
      <c r="K239" s="14" t="s">
        <v>38</v>
      </c>
      <c r="L239" s="14" t="s">
        <v>50</v>
      </c>
      <c r="M239" s="14" t="s">
        <v>38</v>
      </c>
      <c r="N239" s="14" t="s">
        <v>38</v>
      </c>
      <c r="O239" s="14" t="s">
        <v>59</v>
      </c>
      <c r="P239" s="14">
        <v>74.8</v>
      </c>
      <c r="Q239" s="14">
        <v>40.9</v>
      </c>
      <c r="R239" s="14">
        <v>48</v>
      </c>
      <c r="S239" s="14">
        <v>2</v>
      </c>
      <c r="T239" s="14">
        <v>16</v>
      </c>
      <c r="U239" s="14" t="s">
        <v>112</v>
      </c>
      <c r="V239" s="14" t="s">
        <v>113</v>
      </c>
      <c r="W239" s="14" t="s">
        <v>44</v>
      </c>
      <c r="X239" s="14">
        <v>1</v>
      </c>
      <c r="Y239" s="14" t="s">
        <v>147</v>
      </c>
      <c r="Z239" s="17">
        <v>1.9375</v>
      </c>
      <c r="AA239" s="14">
        <v>1</v>
      </c>
      <c r="AB239" s="14">
        <v>5</v>
      </c>
      <c r="AC239" s="14">
        <v>0</v>
      </c>
      <c r="AD239" s="17">
        <f>IFERROR(Z239/(AA239*AB239)*AC239*AA239,"")</f>
        <v>0</v>
      </c>
      <c r="AE239" s="17">
        <f>Z239+AD239</f>
        <v>1.9375</v>
      </c>
      <c r="AF239" s="17"/>
      <c r="AG239" s="14">
        <f>AB239+AC239</f>
        <v>5</v>
      </c>
      <c r="AH239" s="18"/>
      <c r="AI239" s="19"/>
      <c r="AJ239" s="19"/>
      <c r="AK239" s="19"/>
      <c r="AL239" s="19"/>
      <c r="AM239" s="19"/>
    </row>
    <row r="240" spans="1:39" ht="15.75" customHeight="1">
      <c r="A240" s="2"/>
      <c r="B240" s="20" t="s">
        <v>518</v>
      </c>
      <c r="C240" s="14" t="s">
        <v>462</v>
      </c>
      <c r="D240" s="14">
        <v>22</v>
      </c>
      <c r="E240" s="14">
        <v>260</v>
      </c>
      <c r="F240" s="14">
        <v>16</v>
      </c>
      <c r="G240" s="15">
        <v>6.4</v>
      </c>
      <c r="H240" s="14" t="s">
        <v>58</v>
      </c>
      <c r="I240" s="14" t="s">
        <v>37</v>
      </c>
      <c r="J240" s="14" t="s">
        <v>38</v>
      </c>
      <c r="K240" s="14" t="s">
        <v>38</v>
      </c>
      <c r="L240" s="14" t="s">
        <v>258</v>
      </c>
      <c r="M240" s="14" t="s">
        <v>40</v>
      </c>
      <c r="N240" s="14" t="s">
        <v>40</v>
      </c>
      <c r="O240" s="14" t="s">
        <v>53</v>
      </c>
      <c r="P240" s="14">
        <v>74.8</v>
      </c>
      <c r="Q240" s="14">
        <v>40.9</v>
      </c>
      <c r="R240" s="14">
        <v>48</v>
      </c>
      <c r="S240" s="14">
        <v>1</v>
      </c>
      <c r="T240" s="14">
        <v>0</v>
      </c>
      <c r="U240" s="14" t="s">
        <v>42</v>
      </c>
      <c r="V240" s="14" t="s">
        <v>424</v>
      </c>
      <c r="W240" s="14" t="s">
        <v>44</v>
      </c>
      <c r="X240" s="14">
        <v>1</v>
      </c>
      <c r="Y240" s="14" t="s">
        <v>147</v>
      </c>
      <c r="Z240" s="17">
        <v>1.6458333333333333</v>
      </c>
      <c r="AA240" s="14">
        <v>1</v>
      </c>
      <c r="AB240" s="14">
        <v>5</v>
      </c>
      <c r="AC240" s="14">
        <v>0</v>
      </c>
      <c r="AD240" s="17">
        <f>IFERROR(Z240/(AA240*AB240)*AC240*AA240,"")</f>
        <v>0</v>
      </c>
      <c r="AE240" s="17">
        <f>Z240+AD240</f>
        <v>1.6458333333333333</v>
      </c>
      <c r="AF240" s="17"/>
      <c r="AG240" s="14">
        <f>AB240+AC240</f>
        <v>5</v>
      </c>
      <c r="AH240" s="18"/>
      <c r="AI240" s="19"/>
      <c r="AJ240" s="19"/>
      <c r="AK240" s="19"/>
      <c r="AL240" s="19"/>
      <c r="AM240" s="19"/>
    </row>
    <row r="241" spans="1:39" ht="15.75" customHeight="1">
      <c r="A241" s="2"/>
      <c r="B241" s="20" t="s">
        <v>519</v>
      </c>
      <c r="C241" s="14" t="s">
        <v>306</v>
      </c>
      <c r="D241" s="14">
        <v>26</v>
      </c>
      <c r="E241" s="14" t="s">
        <v>520</v>
      </c>
      <c r="F241" s="14">
        <v>22</v>
      </c>
      <c r="G241" s="15">
        <v>8.8000000000000007</v>
      </c>
      <c r="H241" s="14" t="s">
        <v>58</v>
      </c>
      <c r="I241" s="14" t="s">
        <v>37</v>
      </c>
      <c r="J241" s="14" t="s">
        <v>38</v>
      </c>
      <c r="K241" s="14" t="s">
        <v>38</v>
      </c>
      <c r="L241" s="14" t="s">
        <v>39</v>
      </c>
      <c r="M241" s="14" t="s">
        <v>40</v>
      </c>
      <c r="N241" s="14" t="s">
        <v>40</v>
      </c>
      <c r="O241" s="14" t="s">
        <v>53</v>
      </c>
      <c r="P241" s="14">
        <v>74.8</v>
      </c>
      <c r="Q241" s="14">
        <v>40.9</v>
      </c>
      <c r="R241" s="14">
        <v>48</v>
      </c>
      <c r="S241" s="14">
        <v>2</v>
      </c>
      <c r="T241" s="14">
        <v>0</v>
      </c>
      <c r="U241" s="14" t="s">
        <v>42</v>
      </c>
      <c r="V241" s="14" t="s">
        <v>424</v>
      </c>
      <c r="W241" s="14" t="s">
        <v>44</v>
      </c>
      <c r="X241" s="14">
        <v>1</v>
      </c>
      <c r="Y241" s="14" t="s">
        <v>147</v>
      </c>
      <c r="Z241" s="17">
        <v>1.8645833333333333</v>
      </c>
      <c r="AA241" s="14">
        <v>2</v>
      </c>
      <c r="AB241" s="14">
        <v>5</v>
      </c>
      <c r="AC241" s="14">
        <v>0</v>
      </c>
      <c r="AD241" s="17">
        <f>IFERROR(Z241/(AA241*AB241)*AC241*AA241,"")</f>
        <v>0</v>
      </c>
      <c r="AE241" s="17">
        <f>Z241+AD241</f>
        <v>1.8645833333333333</v>
      </c>
      <c r="AF241" s="17"/>
      <c r="AG241" s="14">
        <f>AB241+AC241</f>
        <v>5</v>
      </c>
      <c r="AH241" s="18"/>
      <c r="AI241" s="19"/>
      <c r="AJ241" s="19"/>
      <c r="AK241" s="19"/>
      <c r="AL241" s="19"/>
      <c r="AM241" s="19"/>
    </row>
    <row r="242" spans="1:39" ht="15.75" customHeight="1">
      <c r="A242" s="2"/>
      <c r="B242" s="20" t="s">
        <v>521</v>
      </c>
      <c r="C242" s="14" t="s">
        <v>33</v>
      </c>
      <c r="D242" s="14">
        <v>33.700000000000003</v>
      </c>
      <c r="E242" s="14">
        <v>160</v>
      </c>
      <c r="F242" s="14">
        <v>26</v>
      </c>
      <c r="G242" s="15">
        <v>10.66</v>
      </c>
      <c r="H242" s="14" t="s">
        <v>58</v>
      </c>
      <c r="I242" s="14" t="s">
        <v>37</v>
      </c>
      <c r="J242" s="14" t="s">
        <v>38</v>
      </c>
      <c r="K242" s="14" t="s">
        <v>38</v>
      </c>
      <c r="L242" s="14" t="s">
        <v>39</v>
      </c>
      <c r="M242" s="14" t="s">
        <v>40</v>
      </c>
      <c r="N242" s="14" t="s">
        <v>40</v>
      </c>
      <c r="O242" s="14" t="s">
        <v>127</v>
      </c>
      <c r="P242" s="14">
        <v>69.37</v>
      </c>
      <c r="Q242" s="14">
        <v>44.65</v>
      </c>
      <c r="R242" s="14">
        <v>47</v>
      </c>
      <c r="S242" s="14">
        <v>1</v>
      </c>
      <c r="T242" s="14">
        <v>0</v>
      </c>
      <c r="U242" s="14" t="s">
        <v>42</v>
      </c>
      <c r="V242" s="14" t="s">
        <v>43</v>
      </c>
      <c r="W242" s="14" t="s">
        <v>44</v>
      </c>
      <c r="X242" s="14">
        <v>2</v>
      </c>
      <c r="Y242" s="14" t="s">
        <v>147</v>
      </c>
      <c r="Z242" s="17">
        <v>2.4791666666666665</v>
      </c>
      <c r="AA242" s="14">
        <v>2</v>
      </c>
      <c r="AB242" s="14">
        <v>4</v>
      </c>
      <c r="AC242" s="14">
        <v>0</v>
      </c>
      <c r="AD242" s="17">
        <f>IFERROR(Z242/(AA242*AB242)*AC242*AA242,"")</f>
        <v>0</v>
      </c>
      <c r="AE242" s="17">
        <f>Z242+AD242</f>
        <v>2.4791666666666665</v>
      </c>
      <c r="AF242" s="17"/>
      <c r="AG242" s="14">
        <f>AB242+AC242</f>
        <v>4</v>
      </c>
      <c r="AH242" s="18"/>
      <c r="AI242" s="19"/>
      <c r="AJ242" s="19"/>
      <c r="AK242" s="19"/>
      <c r="AL242" s="19"/>
      <c r="AM242" s="19"/>
    </row>
    <row r="243" spans="1:39" ht="15.75" customHeight="1">
      <c r="A243" s="2"/>
      <c r="B243" s="20" t="s">
        <v>522</v>
      </c>
      <c r="C243" s="14" t="s">
        <v>480</v>
      </c>
      <c r="D243" s="14">
        <v>18</v>
      </c>
      <c r="E243" s="14">
        <v>180</v>
      </c>
      <c r="F243" s="14">
        <v>14</v>
      </c>
      <c r="G243" s="15">
        <v>5.6</v>
      </c>
      <c r="H243" s="14" t="s">
        <v>58</v>
      </c>
      <c r="I243" s="14" t="s">
        <v>37</v>
      </c>
      <c r="J243" s="14" t="s">
        <v>38</v>
      </c>
      <c r="K243" s="14" t="s">
        <v>38</v>
      </c>
      <c r="L243" s="14" t="s">
        <v>50</v>
      </c>
      <c r="M243" s="14" t="s">
        <v>38</v>
      </c>
      <c r="N243" s="14" t="s">
        <v>38</v>
      </c>
      <c r="O243" s="14" t="s">
        <v>135</v>
      </c>
      <c r="P243" s="14">
        <v>74.8</v>
      </c>
      <c r="Q243" s="14">
        <v>40.9</v>
      </c>
      <c r="R243" s="14">
        <v>48</v>
      </c>
      <c r="S243" s="14">
        <v>1</v>
      </c>
      <c r="T243" s="14">
        <v>8</v>
      </c>
      <c r="U243" s="14" t="s">
        <v>42</v>
      </c>
      <c r="V243" s="14" t="s">
        <v>43</v>
      </c>
      <c r="W243" s="14" t="s">
        <v>44</v>
      </c>
      <c r="X243" s="14">
        <v>1</v>
      </c>
      <c r="Y243" s="14" t="s">
        <v>147</v>
      </c>
      <c r="Z243" s="17">
        <v>2.34375</v>
      </c>
      <c r="AA243" s="14">
        <v>2</v>
      </c>
      <c r="AB243" s="14">
        <v>6</v>
      </c>
      <c r="AC243" s="14">
        <v>0</v>
      </c>
      <c r="AD243" s="17">
        <f>IFERROR(Z243/(AA243*AB243)*AC243*AA243,"")</f>
        <v>0</v>
      </c>
      <c r="AE243" s="17">
        <f>Z243+AD243</f>
        <v>2.34375</v>
      </c>
      <c r="AF243" s="17"/>
      <c r="AG243" s="14">
        <f>AB243+AC243</f>
        <v>6</v>
      </c>
      <c r="AH243" s="18"/>
      <c r="AI243" s="19"/>
      <c r="AJ243" s="19"/>
      <c r="AK243" s="19"/>
      <c r="AL243" s="19"/>
      <c r="AM243" s="19"/>
    </row>
    <row r="244" spans="1:39" ht="15.75" customHeight="1">
      <c r="A244" s="2"/>
      <c r="B244" s="20" t="s">
        <v>523</v>
      </c>
      <c r="C244" s="14" t="s">
        <v>158</v>
      </c>
      <c r="D244" s="14">
        <v>27</v>
      </c>
      <c r="E244" s="14">
        <v>221</v>
      </c>
      <c r="F244" s="14">
        <v>12</v>
      </c>
      <c r="G244" s="15">
        <v>4.8</v>
      </c>
      <c r="H244" s="14" t="s">
        <v>58</v>
      </c>
      <c r="I244" s="14" t="s">
        <v>37</v>
      </c>
      <c r="J244" s="14" t="s">
        <v>38</v>
      </c>
      <c r="K244" s="14" t="s">
        <v>40</v>
      </c>
      <c r="L244" s="14" t="s">
        <v>39</v>
      </c>
      <c r="M244" s="14" t="s">
        <v>40</v>
      </c>
      <c r="N244" s="14" t="s">
        <v>38</v>
      </c>
      <c r="O244" s="14" t="s">
        <v>41</v>
      </c>
      <c r="P244" s="14">
        <v>74.8</v>
      </c>
      <c r="Q244" s="14">
        <v>40.9</v>
      </c>
      <c r="R244" s="14">
        <v>48</v>
      </c>
      <c r="S244" s="14">
        <v>2</v>
      </c>
      <c r="T244" s="14">
        <v>0</v>
      </c>
      <c r="U244" s="14" t="s">
        <v>42</v>
      </c>
      <c r="V244" s="14" t="s">
        <v>43</v>
      </c>
      <c r="W244" s="14" t="s">
        <v>44</v>
      </c>
      <c r="X244" s="14">
        <v>1</v>
      </c>
      <c r="Y244" s="14" t="s">
        <v>114</v>
      </c>
      <c r="Z244" s="17">
        <v>1.0833333333333333</v>
      </c>
      <c r="AA244" s="14">
        <v>1</v>
      </c>
      <c r="AB244" s="14">
        <v>5</v>
      </c>
      <c r="AC244" s="14">
        <v>0</v>
      </c>
      <c r="AD244" s="17">
        <f>IFERROR(Z244/(AA244*AB244)*AC244*AA244,"")</f>
        <v>0</v>
      </c>
      <c r="AE244" s="17">
        <f>Z244+AD244</f>
        <v>1.0833333333333333</v>
      </c>
      <c r="AF244" s="17"/>
      <c r="AG244" s="14">
        <f>AB244+AC244</f>
        <v>5</v>
      </c>
      <c r="AH244" s="18"/>
      <c r="AI244" s="19"/>
      <c r="AJ244" s="19"/>
      <c r="AK244" s="19"/>
      <c r="AL244" s="19"/>
      <c r="AM244" s="19"/>
    </row>
    <row r="245" spans="1:39" ht="15.75" customHeight="1">
      <c r="A245" s="2"/>
      <c r="B245" s="20" t="s">
        <v>524</v>
      </c>
      <c r="C245" s="14" t="s">
        <v>158</v>
      </c>
      <c r="D245" s="14">
        <v>27</v>
      </c>
      <c r="E245" s="14">
        <v>271</v>
      </c>
      <c r="F245" s="14">
        <v>12</v>
      </c>
      <c r="G245" s="15">
        <v>4.8</v>
      </c>
      <c r="H245" s="14" t="s">
        <v>58</v>
      </c>
      <c r="I245" s="14" t="s">
        <v>37</v>
      </c>
      <c r="J245" s="14" t="s">
        <v>38</v>
      </c>
      <c r="K245" s="14" t="s">
        <v>40</v>
      </c>
      <c r="L245" s="14" t="s">
        <v>39</v>
      </c>
      <c r="M245" s="14" t="s">
        <v>40</v>
      </c>
      <c r="N245" s="14" t="s">
        <v>38</v>
      </c>
      <c r="O245" s="14" t="s">
        <v>41</v>
      </c>
      <c r="P245" s="14">
        <v>74.8</v>
      </c>
      <c r="Q245" s="14">
        <v>40.9</v>
      </c>
      <c r="R245" s="14">
        <v>48</v>
      </c>
      <c r="S245" s="14">
        <v>1</v>
      </c>
      <c r="T245" s="14">
        <v>0</v>
      </c>
      <c r="U245" s="14" t="s">
        <v>42</v>
      </c>
      <c r="V245" s="14" t="s">
        <v>43</v>
      </c>
      <c r="W245" s="14" t="s">
        <v>44</v>
      </c>
      <c r="X245" s="14">
        <v>1</v>
      </c>
      <c r="Y245" s="14" t="s">
        <v>114</v>
      </c>
      <c r="Z245" s="17">
        <v>1.09375</v>
      </c>
      <c r="AA245" s="14">
        <v>1</v>
      </c>
      <c r="AB245" s="14">
        <v>3</v>
      </c>
      <c r="AC245" s="14">
        <v>0</v>
      </c>
      <c r="AD245" s="17">
        <f>IFERROR(Z245/(AA245*AB245)*AC245*AA245,"")</f>
        <v>0</v>
      </c>
      <c r="AE245" s="17">
        <f>Z245+AD245</f>
        <v>1.09375</v>
      </c>
      <c r="AF245" s="17"/>
      <c r="AG245" s="14">
        <f>AB245+AC245</f>
        <v>3</v>
      </c>
      <c r="AH245" s="18" t="s">
        <v>415</v>
      </c>
      <c r="AI245" s="19"/>
      <c r="AJ245" s="19"/>
      <c r="AK245" s="19"/>
      <c r="AL245" s="19"/>
      <c r="AM245" s="19"/>
    </row>
    <row r="246" spans="1:39" ht="15.75" customHeight="1">
      <c r="A246" s="2"/>
      <c r="B246" s="20" t="s">
        <v>525</v>
      </c>
      <c r="C246" s="14" t="s">
        <v>158</v>
      </c>
      <c r="D246" s="14">
        <v>27</v>
      </c>
      <c r="E246" s="14">
        <v>125</v>
      </c>
      <c r="F246" s="14">
        <v>12</v>
      </c>
      <c r="G246" s="15">
        <v>4.8</v>
      </c>
      <c r="H246" s="14" t="s">
        <v>58</v>
      </c>
      <c r="I246" s="14" t="s">
        <v>37</v>
      </c>
      <c r="J246" s="14" t="s">
        <v>38</v>
      </c>
      <c r="K246" s="14" t="s">
        <v>40</v>
      </c>
      <c r="L246" s="14" t="s">
        <v>39</v>
      </c>
      <c r="M246" s="14" t="s">
        <v>40</v>
      </c>
      <c r="N246" s="14" t="s">
        <v>38</v>
      </c>
      <c r="O246" s="14" t="s">
        <v>53</v>
      </c>
      <c r="P246" s="14">
        <v>74.8</v>
      </c>
      <c r="Q246" s="14">
        <v>40.9</v>
      </c>
      <c r="R246" s="14">
        <v>48</v>
      </c>
      <c r="S246" s="14">
        <v>1</v>
      </c>
      <c r="T246" s="14">
        <v>0</v>
      </c>
      <c r="U246" s="14" t="s">
        <v>42</v>
      </c>
      <c r="V246" s="14" t="s">
        <v>43</v>
      </c>
      <c r="W246" s="14" t="s">
        <v>44</v>
      </c>
      <c r="X246" s="14">
        <v>1</v>
      </c>
      <c r="Y246" s="14" t="s">
        <v>114</v>
      </c>
      <c r="Z246" s="17">
        <v>1.09375</v>
      </c>
      <c r="AA246" s="14">
        <v>1</v>
      </c>
      <c r="AB246" s="14">
        <v>5</v>
      </c>
      <c r="AC246" s="14">
        <v>0</v>
      </c>
      <c r="AD246" s="17">
        <f>IFERROR(Z246/(AA246*AB246)*AC246*AA246,"")</f>
        <v>0</v>
      </c>
      <c r="AE246" s="17">
        <f>Z246+AD246</f>
        <v>1.09375</v>
      </c>
      <c r="AF246" s="17"/>
      <c r="AG246" s="14">
        <f>AB246+AC246</f>
        <v>5</v>
      </c>
      <c r="AH246" s="18" t="s">
        <v>415</v>
      </c>
      <c r="AI246" s="19"/>
      <c r="AJ246" s="19"/>
      <c r="AK246" s="19"/>
      <c r="AL246" s="19"/>
      <c r="AM246" s="19"/>
    </row>
    <row r="247" spans="1:39" ht="15.75" customHeight="1">
      <c r="A247" s="2"/>
      <c r="B247" s="20" t="s">
        <v>526</v>
      </c>
      <c r="C247" s="14" t="s">
        <v>205</v>
      </c>
      <c r="D247" s="14">
        <v>27</v>
      </c>
      <c r="E247" s="14">
        <v>146</v>
      </c>
      <c r="F247" s="14">
        <v>12</v>
      </c>
      <c r="G247" s="15">
        <v>4.8</v>
      </c>
      <c r="H247" s="14" t="s">
        <v>58</v>
      </c>
      <c r="I247" s="14" t="s">
        <v>37</v>
      </c>
      <c r="J247" s="14" t="s">
        <v>38</v>
      </c>
      <c r="K247" s="14" t="s">
        <v>40</v>
      </c>
      <c r="L247" s="14" t="s">
        <v>39</v>
      </c>
      <c r="M247" s="14" t="s">
        <v>40</v>
      </c>
      <c r="N247" s="14" t="s">
        <v>38</v>
      </c>
      <c r="O247" s="14" t="s">
        <v>41</v>
      </c>
      <c r="P247" s="14">
        <v>74.8</v>
      </c>
      <c r="Q247" s="14">
        <v>40.9</v>
      </c>
      <c r="R247" s="14">
        <v>48</v>
      </c>
      <c r="S247" s="14">
        <v>1</v>
      </c>
      <c r="T247" s="14">
        <v>0</v>
      </c>
      <c r="U247" s="14" t="s">
        <v>42</v>
      </c>
      <c r="V247" s="14" t="s">
        <v>43</v>
      </c>
      <c r="W247" s="14" t="s">
        <v>44</v>
      </c>
      <c r="X247" s="14">
        <v>1</v>
      </c>
      <c r="Y247" s="14" t="s">
        <v>114</v>
      </c>
      <c r="Z247" s="17">
        <v>1.09375</v>
      </c>
      <c r="AA247" s="14">
        <v>1</v>
      </c>
      <c r="AB247" s="14">
        <v>2</v>
      </c>
      <c r="AC247" s="14">
        <v>0</v>
      </c>
      <c r="AD247" s="17">
        <f>IFERROR(Z247/(AA247*AB247)*AC247*AA247,"")</f>
        <v>0</v>
      </c>
      <c r="AE247" s="17">
        <f>Z247+AD247</f>
        <v>1.09375</v>
      </c>
      <c r="AF247" s="17"/>
      <c r="AG247" s="14">
        <f>AB247+AC247</f>
        <v>2</v>
      </c>
      <c r="AH247" s="18" t="s">
        <v>415</v>
      </c>
      <c r="AI247" s="19"/>
      <c r="AJ247" s="19"/>
      <c r="AK247" s="19"/>
      <c r="AL247" s="19"/>
      <c r="AM247" s="19"/>
    </row>
    <row r="248" spans="1:39" ht="15.75" customHeight="1">
      <c r="A248" s="2"/>
      <c r="B248" s="20" t="s">
        <v>527</v>
      </c>
      <c r="C248" s="14" t="s">
        <v>109</v>
      </c>
      <c r="D248" s="14">
        <v>26</v>
      </c>
      <c r="E248" s="14">
        <v>180</v>
      </c>
      <c r="F248" s="14">
        <v>20</v>
      </c>
      <c r="G248" s="15">
        <v>8.4</v>
      </c>
      <c r="H248" s="14" t="s">
        <v>58</v>
      </c>
      <c r="I248" s="14" t="s">
        <v>37</v>
      </c>
      <c r="J248" s="14" t="s">
        <v>38</v>
      </c>
      <c r="K248" s="14" t="s">
        <v>38</v>
      </c>
      <c r="L248" s="14" t="s">
        <v>39</v>
      </c>
      <c r="M248" s="14" t="s">
        <v>40</v>
      </c>
      <c r="N248" s="14" t="s">
        <v>40</v>
      </c>
      <c r="O248" s="14" t="s">
        <v>41</v>
      </c>
      <c r="P248" s="14">
        <v>73.400000000000006</v>
      </c>
      <c r="Q248" s="14">
        <v>40.9</v>
      </c>
      <c r="R248" s="14">
        <v>47.8</v>
      </c>
      <c r="S248" s="14">
        <v>4</v>
      </c>
      <c r="T248" s="14">
        <v>0</v>
      </c>
      <c r="U248" s="14" t="s">
        <v>42</v>
      </c>
      <c r="V248" s="14" t="s">
        <v>43</v>
      </c>
      <c r="W248" s="14" t="s">
        <v>62</v>
      </c>
      <c r="X248" s="14">
        <v>2</v>
      </c>
      <c r="Y248" s="14" t="s">
        <v>147</v>
      </c>
      <c r="Z248" s="17">
        <v>1.6041666666666667</v>
      </c>
      <c r="AA248" s="14">
        <v>2</v>
      </c>
      <c r="AB248" s="14">
        <v>5</v>
      </c>
      <c r="AC248" s="14">
        <v>0</v>
      </c>
      <c r="AD248" s="17">
        <f>IFERROR(Z248/(AA248*AB248)*AC248*AA248,"")</f>
        <v>0</v>
      </c>
      <c r="AE248" s="17">
        <f>Z248+AD248</f>
        <v>1.6041666666666667</v>
      </c>
      <c r="AF248" s="17"/>
      <c r="AG248" s="14">
        <f>AB248+AC248</f>
        <v>5</v>
      </c>
      <c r="AH248" s="18" t="s">
        <v>415</v>
      </c>
      <c r="AI248" s="19"/>
      <c r="AJ248" s="19"/>
      <c r="AK248" s="19"/>
      <c r="AL248" s="19"/>
      <c r="AM248" s="19"/>
    </row>
    <row r="249" spans="1:39" ht="15.75" customHeight="1">
      <c r="A249" s="2"/>
      <c r="B249" s="20" t="s">
        <v>528</v>
      </c>
      <c r="C249" s="14" t="s">
        <v>69</v>
      </c>
      <c r="D249" s="14" t="s">
        <v>529</v>
      </c>
      <c r="E249" s="14" t="s">
        <v>530</v>
      </c>
      <c r="F249" s="14">
        <v>28</v>
      </c>
      <c r="G249" s="15">
        <v>12.88</v>
      </c>
      <c r="H249" s="14" t="s">
        <v>58</v>
      </c>
      <c r="I249" s="14" t="s">
        <v>37</v>
      </c>
      <c r="J249" s="14" t="s">
        <v>38</v>
      </c>
      <c r="K249" s="14" t="s">
        <v>38</v>
      </c>
      <c r="L249" s="14" t="s">
        <v>50</v>
      </c>
      <c r="M249" s="14" t="s">
        <v>40</v>
      </c>
      <c r="N249" s="14" t="s">
        <v>38</v>
      </c>
      <c r="O249" s="14" t="s">
        <v>41</v>
      </c>
      <c r="P249" s="14">
        <v>68</v>
      </c>
      <c r="Q249" s="14">
        <v>47.4</v>
      </c>
      <c r="R249" s="14">
        <v>50</v>
      </c>
      <c r="S249" s="14">
        <v>3</v>
      </c>
      <c r="T249" s="14">
        <v>0</v>
      </c>
      <c r="U249" s="14" t="s">
        <v>42</v>
      </c>
      <c r="V249" s="14" t="s">
        <v>43</v>
      </c>
      <c r="W249" s="14" t="s">
        <v>85</v>
      </c>
      <c r="X249" s="14">
        <v>1</v>
      </c>
      <c r="Y249" s="14" t="s">
        <v>222</v>
      </c>
      <c r="Z249" s="17">
        <v>2.2916666666666665</v>
      </c>
      <c r="AA249" s="14">
        <v>2</v>
      </c>
      <c r="AB249" s="14">
        <v>5</v>
      </c>
      <c r="AC249" s="14">
        <v>0</v>
      </c>
      <c r="AD249" s="17">
        <f>IFERROR(Z249/(AA249*AB249)*AC249*AA249,"")</f>
        <v>0</v>
      </c>
      <c r="AE249" s="17">
        <f>Z249+AD249</f>
        <v>2.2916666666666665</v>
      </c>
      <c r="AF249" s="17"/>
      <c r="AG249" s="14">
        <f>AB249+AC249</f>
        <v>5</v>
      </c>
      <c r="AH249" s="18"/>
      <c r="AI249" s="19"/>
      <c r="AJ249" s="19"/>
      <c r="AK249" s="19"/>
      <c r="AL249" s="19"/>
      <c r="AM249" s="19"/>
    </row>
    <row r="250" spans="1:39" ht="15.75" customHeight="1">
      <c r="A250" s="2"/>
      <c r="B250" s="20" t="s">
        <v>531</v>
      </c>
      <c r="C250" s="14" t="s">
        <v>183</v>
      </c>
      <c r="D250" s="14">
        <v>18</v>
      </c>
      <c r="E250" s="14" t="s">
        <v>503</v>
      </c>
      <c r="F250" s="14">
        <v>26</v>
      </c>
      <c r="G250" s="15">
        <v>10.66</v>
      </c>
      <c r="H250" s="14" t="s">
        <v>58</v>
      </c>
      <c r="I250" s="14" t="s">
        <v>37</v>
      </c>
      <c r="J250" s="14" t="s">
        <v>38</v>
      </c>
      <c r="K250" s="14" t="s">
        <v>38</v>
      </c>
      <c r="L250" s="14" t="s">
        <v>50</v>
      </c>
      <c r="M250" s="14" t="s">
        <v>38</v>
      </c>
      <c r="N250" s="14" t="s">
        <v>38</v>
      </c>
      <c r="O250" s="14" t="s">
        <v>41</v>
      </c>
      <c r="P250" s="14">
        <v>69.37</v>
      </c>
      <c r="Q250" s="14">
        <v>44.65</v>
      </c>
      <c r="R250" s="14">
        <v>47</v>
      </c>
      <c r="S250" s="14">
        <v>2</v>
      </c>
      <c r="T250" s="14">
        <v>2</v>
      </c>
      <c r="U250" s="14" t="s">
        <v>42</v>
      </c>
      <c r="V250" s="14" t="s">
        <v>43</v>
      </c>
      <c r="W250" s="14" t="s">
        <v>44</v>
      </c>
      <c r="X250" s="14">
        <v>1</v>
      </c>
      <c r="Y250" s="14" t="s">
        <v>114</v>
      </c>
      <c r="Z250" s="17">
        <v>2.1666666666666665</v>
      </c>
      <c r="AA250" s="14">
        <v>1</v>
      </c>
      <c r="AB250" s="14">
        <v>5</v>
      </c>
      <c r="AC250" s="14">
        <v>0</v>
      </c>
      <c r="AD250" s="17">
        <f>IFERROR(Z250/(AA250*AB250)*AC250*AA250,"")</f>
        <v>0</v>
      </c>
      <c r="AE250" s="17">
        <f>Z250+AD250</f>
        <v>2.1666666666666665</v>
      </c>
      <c r="AF250" s="17"/>
      <c r="AG250" s="14">
        <f>AB250+AC250</f>
        <v>5</v>
      </c>
      <c r="AH250" s="18"/>
      <c r="AI250" s="19"/>
      <c r="AJ250" s="19"/>
      <c r="AK250" s="19"/>
      <c r="AL250" s="19"/>
      <c r="AM250" s="19"/>
    </row>
    <row r="251" spans="1:39" ht="15.75" customHeight="1">
      <c r="A251" s="2"/>
      <c r="B251" s="20" t="s">
        <v>532</v>
      </c>
      <c r="C251" s="14" t="s">
        <v>205</v>
      </c>
      <c r="D251" s="14">
        <v>27</v>
      </c>
      <c r="E251" s="14" t="s">
        <v>533</v>
      </c>
      <c r="F251" s="14">
        <v>42</v>
      </c>
      <c r="G251" s="15">
        <v>16.170000000000002</v>
      </c>
      <c r="H251" s="14" t="s">
        <v>58</v>
      </c>
      <c r="I251" s="14" t="s">
        <v>37</v>
      </c>
      <c r="J251" s="14" t="s">
        <v>38</v>
      </c>
      <c r="K251" s="14" t="s">
        <v>40</v>
      </c>
      <c r="L251" s="14" t="s">
        <v>39</v>
      </c>
      <c r="M251" s="14" t="s">
        <v>40</v>
      </c>
      <c r="N251" s="14" t="s">
        <v>40</v>
      </c>
      <c r="O251" s="14" t="s">
        <v>75</v>
      </c>
      <c r="P251" s="14">
        <v>79.06</v>
      </c>
      <c r="Q251" s="14">
        <v>39.450000000000003</v>
      </c>
      <c r="R251" s="14">
        <v>49.6</v>
      </c>
      <c r="S251" s="14">
        <v>4</v>
      </c>
      <c r="T251" s="14">
        <v>0</v>
      </c>
      <c r="U251" s="14" t="s">
        <v>42</v>
      </c>
      <c r="V251" s="14" t="s">
        <v>378</v>
      </c>
      <c r="W251" s="14" t="s">
        <v>44</v>
      </c>
      <c r="X251" s="14">
        <v>1</v>
      </c>
      <c r="Y251" s="14" t="s">
        <v>147</v>
      </c>
      <c r="Z251" s="17">
        <v>3.4791666666666665</v>
      </c>
      <c r="AA251" s="14">
        <v>2</v>
      </c>
      <c r="AB251" s="14">
        <v>5</v>
      </c>
      <c r="AC251" s="14">
        <v>0</v>
      </c>
      <c r="AD251" s="17">
        <f>IFERROR(Z251/(AA251*AB251)*AC251*AA251,"")</f>
        <v>0</v>
      </c>
      <c r="AE251" s="17">
        <f>Z251+AD251</f>
        <v>3.4791666666666665</v>
      </c>
      <c r="AF251" s="17"/>
      <c r="AG251" s="14">
        <f>AB251+AC251</f>
        <v>5</v>
      </c>
      <c r="AH251" s="18"/>
      <c r="AI251" s="19"/>
      <c r="AJ251" s="19"/>
      <c r="AK251" s="19"/>
      <c r="AL251" s="19"/>
      <c r="AM251" s="19"/>
    </row>
    <row r="252" spans="1:39" ht="15.75" customHeight="1">
      <c r="A252" s="2"/>
      <c r="B252" s="20" t="s">
        <v>534</v>
      </c>
      <c r="C252" s="14" t="s">
        <v>69</v>
      </c>
      <c r="D252" s="14">
        <v>14</v>
      </c>
      <c r="E252" s="14" t="s">
        <v>535</v>
      </c>
      <c r="F252" s="14">
        <v>31</v>
      </c>
      <c r="G252" s="15">
        <v>11.935</v>
      </c>
      <c r="H252" s="14" t="s">
        <v>58</v>
      </c>
      <c r="I252" s="14" t="s">
        <v>37</v>
      </c>
      <c r="J252" s="14" t="s">
        <v>38</v>
      </c>
      <c r="K252" s="14" t="s">
        <v>40</v>
      </c>
      <c r="L252" s="14" t="s">
        <v>39</v>
      </c>
      <c r="M252" s="14" t="s">
        <v>40</v>
      </c>
      <c r="N252" s="14" t="s">
        <v>40</v>
      </c>
      <c r="O252" s="14" t="s">
        <v>146</v>
      </c>
      <c r="P252" s="14">
        <v>79.06</v>
      </c>
      <c r="Q252" s="14">
        <v>39.450000000000003</v>
      </c>
      <c r="R252" s="14">
        <v>49.6</v>
      </c>
      <c r="S252" s="14">
        <v>3</v>
      </c>
      <c r="T252" s="14">
        <v>0</v>
      </c>
      <c r="U252" s="14" t="s">
        <v>42</v>
      </c>
      <c r="V252" s="14" t="s">
        <v>43</v>
      </c>
      <c r="W252" s="14" t="s">
        <v>44</v>
      </c>
      <c r="X252" s="14">
        <v>2</v>
      </c>
      <c r="Y252" s="14" t="s">
        <v>147</v>
      </c>
      <c r="Z252" s="17">
        <v>3.1979166666666665</v>
      </c>
      <c r="AA252" s="14">
        <v>3</v>
      </c>
      <c r="AB252" s="14">
        <v>5</v>
      </c>
      <c r="AC252" s="14">
        <v>0</v>
      </c>
      <c r="AD252" s="17">
        <f>IFERROR(Z252/(AA252*AB252)*AC252*AA252,"")</f>
        <v>0</v>
      </c>
      <c r="AE252" s="17">
        <f>Z252+AD252</f>
        <v>3.1979166666666665</v>
      </c>
      <c r="AF252" s="17"/>
      <c r="AG252" s="14">
        <f>AB252+AC252</f>
        <v>5</v>
      </c>
      <c r="AH252" s="18"/>
      <c r="AI252" s="19"/>
      <c r="AJ252" s="19"/>
      <c r="AK252" s="19"/>
      <c r="AL252" s="19"/>
      <c r="AM252" s="19"/>
    </row>
    <row r="253" spans="1:39" ht="15.75" customHeight="1">
      <c r="A253" s="2"/>
      <c r="B253" s="20" t="s">
        <v>536</v>
      </c>
      <c r="C253" s="14" t="s">
        <v>171</v>
      </c>
      <c r="D253" s="14">
        <v>33</v>
      </c>
      <c r="E253" s="14" t="s">
        <v>537</v>
      </c>
      <c r="F253" s="14">
        <v>36</v>
      </c>
      <c r="G253" s="15">
        <v>16.559999999999999</v>
      </c>
      <c r="H253" s="14" t="s">
        <v>58</v>
      </c>
      <c r="I253" s="14" t="s">
        <v>37</v>
      </c>
      <c r="J253" s="14" t="s">
        <v>38</v>
      </c>
      <c r="K253" s="14" t="s">
        <v>38</v>
      </c>
      <c r="L253" s="14" t="s">
        <v>39</v>
      </c>
      <c r="M253" s="14" t="s">
        <v>40</v>
      </c>
      <c r="N253" s="14" t="s">
        <v>40</v>
      </c>
      <c r="O253" s="14" t="s">
        <v>103</v>
      </c>
      <c r="P253" s="14">
        <v>68</v>
      </c>
      <c r="Q253" s="14">
        <v>47.4</v>
      </c>
      <c r="R253" s="14">
        <v>50</v>
      </c>
      <c r="S253" s="14">
        <v>7</v>
      </c>
      <c r="T253" s="14">
        <v>0</v>
      </c>
      <c r="U253" s="14" t="s">
        <v>42</v>
      </c>
      <c r="V253" s="14" t="s">
        <v>43</v>
      </c>
      <c r="W253" s="14" t="s">
        <v>62</v>
      </c>
      <c r="X253" s="14">
        <v>2</v>
      </c>
      <c r="Y253" s="14" t="s">
        <v>147</v>
      </c>
      <c r="Z253" s="17">
        <v>3.9166666666666665</v>
      </c>
      <c r="AA253" s="14">
        <v>3</v>
      </c>
      <c r="AB253" s="14">
        <v>4</v>
      </c>
      <c r="AC253" s="14">
        <v>1</v>
      </c>
      <c r="AD253" s="17">
        <f>IFERROR(Z253/(AA253*AB253)*AC253*AA253,"")</f>
        <v>0.97916666666666674</v>
      </c>
      <c r="AE253" s="17">
        <f>Z253+AD253</f>
        <v>4.895833333333333</v>
      </c>
      <c r="AF253" s="17"/>
      <c r="AG253" s="14">
        <f>AB253+AC253</f>
        <v>5</v>
      </c>
      <c r="AH253" s="18"/>
      <c r="AI253" s="19"/>
      <c r="AJ253" s="19"/>
      <c r="AK253" s="19"/>
      <c r="AL253" s="19"/>
      <c r="AM253" s="19"/>
    </row>
    <row r="254" spans="1:39" ht="15.75" customHeight="1">
      <c r="A254" s="2"/>
      <c r="B254" s="20" t="s">
        <v>538</v>
      </c>
      <c r="C254" s="14" t="s">
        <v>350</v>
      </c>
      <c r="D254" s="14">
        <v>26</v>
      </c>
      <c r="E254" s="14">
        <v>90</v>
      </c>
      <c r="F254" s="14">
        <v>22</v>
      </c>
      <c r="G254" s="15">
        <v>8.8000000000000007</v>
      </c>
      <c r="H254" s="14" t="s">
        <v>58</v>
      </c>
      <c r="I254" s="14" t="s">
        <v>37</v>
      </c>
      <c r="J254" s="14" t="s">
        <v>38</v>
      </c>
      <c r="K254" s="14" t="s">
        <v>38</v>
      </c>
      <c r="L254" s="14" t="s">
        <v>39</v>
      </c>
      <c r="M254" s="14" t="s">
        <v>40</v>
      </c>
      <c r="N254" s="14" t="s">
        <v>40</v>
      </c>
      <c r="O254" s="14" t="s">
        <v>41</v>
      </c>
      <c r="P254" s="14">
        <v>74.8</v>
      </c>
      <c r="Q254" s="14">
        <v>40.9</v>
      </c>
      <c r="R254" s="14">
        <v>48</v>
      </c>
      <c r="S254" s="14">
        <v>3</v>
      </c>
      <c r="T254" s="14">
        <v>0</v>
      </c>
      <c r="U254" s="14" t="s">
        <v>42</v>
      </c>
      <c r="V254" s="14" t="s">
        <v>43</v>
      </c>
      <c r="W254" s="14" t="s">
        <v>44</v>
      </c>
      <c r="X254" s="14">
        <v>2</v>
      </c>
      <c r="Y254" s="14" t="s">
        <v>147</v>
      </c>
      <c r="Z254" s="17">
        <v>1.7708333333333333</v>
      </c>
      <c r="AA254" s="14">
        <v>1</v>
      </c>
      <c r="AB254" s="14">
        <v>5</v>
      </c>
      <c r="AC254" s="14">
        <v>0</v>
      </c>
      <c r="AD254" s="17">
        <f>IFERROR(Z254/(AA254*AB254)*AC254*AA254,"")</f>
        <v>0</v>
      </c>
      <c r="AE254" s="17">
        <f>Z254+AD254</f>
        <v>1.7708333333333333</v>
      </c>
      <c r="AF254" s="17"/>
      <c r="AG254" s="14">
        <f>AB254+AC254</f>
        <v>5</v>
      </c>
      <c r="AH254" s="18"/>
      <c r="AI254" s="19"/>
      <c r="AJ254" s="19"/>
      <c r="AK254" s="19"/>
      <c r="AL254" s="19"/>
      <c r="AM254" s="19"/>
    </row>
    <row r="255" spans="1:39" ht="15.75" customHeight="1">
      <c r="A255" s="2"/>
      <c r="B255" s="20" t="s">
        <v>539</v>
      </c>
      <c r="C255" s="14" t="s">
        <v>116</v>
      </c>
      <c r="D255" s="14">
        <v>22</v>
      </c>
      <c r="E255" s="14" t="s">
        <v>540</v>
      </c>
      <c r="F255" s="14">
        <v>9</v>
      </c>
      <c r="G255" s="15">
        <v>4.1399999999999997</v>
      </c>
      <c r="H255" s="14" t="s">
        <v>58</v>
      </c>
      <c r="I255" s="14" t="s">
        <v>37</v>
      </c>
      <c r="J255" s="14" t="s">
        <v>38</v>
      </c>
      <c r="K255" s="14" t="s">
        <v>40</v>
      </c>
      <c r="L255" s="14" t="s">
        <v>50</v>
      </c>
      <c r="M255" s="14" t="s">
        <v>38</v>
      </c>
      <c r="N255" s="14" t="s">
        <v>38</v>
      </c>
      <c r="O255" s="14" t="s">
        <v>41</v>
      </c>
      <c r="P255" s="14">
        <v>68</v>
      </c>
      <c r="Q255" s="14">
        <v>47.4</v>
      </c>
      <c r="R255" s="14">
        <v>50</v>
      </c>
      <c r="S255" s="14">
        <v>1</v>
      </c>
      <c r="T255" s="14">
        <v>9</v>
      </c>
      <c r="U255" s="14" t="s">
        <v>42</v>
      </c>
      <c r="V255" s="14" t="s">
        <v>43</v>
      </c>
      <c r="W255" s="14" t="s">
        <v>62</v>
      </c>
      <c r="X255" s="14">
        <v>1</v>
      </c>
      <c r="Y255" s="14" t="s">
        <v>147</v>
      </c>
      <c r="Z255" s="17">
        <v>1.6354166666666667</v>
      </c>
      <c r="AA255" s="14">
        <v>1</v>
      </c>
      <c r="AB255" s="14">
        <v>5</v>
      </c>
      <c r="AC255" s="14">
        <v>0</v>
      </c>
      <c r="AD255" s="17">
        <f>IFERROR(Z255/(AA255*AB255)*AC255*AA255,"")</f>
        <v>0</v>
      </c>
      <c r="AE255" s="17">
        <f>Z255+AD255</f>
        <v>1.6354166666666667</v>
      </c>
      <c r="AF255" s="17"/>
      <c r="AG255" s="14">
        <f>AB255+AC255</f>
        <v>5</v>
      </c>
      <c r="AH255" s="18"/>
      <c r="AI255" s="19"/>
      <c r="AJ255" s="19"/>
      <c r="AK255" s="19"/>
      <c r="AL255" s="19"/>
      <c r="AM255" s="19"/>
    </row>
    <row r="256" spans="1:39" ht="15.75" customHeight="1">
      <c r="A256" s="2"/>
      <c r="B256" s="20" t="s">
        <v>541</v>
      </c>
      <c r="C256" s="14" t="s">
        <v>325</v>
      </c>
      <c r="D256" s="14">
        <v>40</v>
      </c>
      <c r="E256" s="14">
        <v>179</v>
      </c>
      <c r="F256" s="14">
        <v>8</v>
      </c>
      <c r="G256" s="15">
        <v>3.36</v>
      </c>
      <c r="H256" s="14" t="s">
        <v>58</v>
      </c>
      <c r="I256" s="14" t="s">
        <v>37</v>
      </c>
      <c r="J256" s="14" t="s">
        <v>38</v>
      </c>
      <c r="K256" s="14" t="s">
        <v>38</v>
      </c>
      <c r="L256" s="14" t="s">
        <v>50</v>
      </c>
      <c r="M256" s="14" t="s">
        <v>38</v>
      </c>
      <c r="N256" s="14" t="s">
        <v>38</v>
      </c>
      <c r="O256" s="14" t="s">
        <v>290</v>
      </c>
      <c r="P256" s="14">
        <v>73.400000000000006</v>
      </c>
      <c r="Q256" s="14">
        <v>40.9</v>
      </c>
      <c r="R256" s="14">
        <v>47.8</v>
      </c>
      <c r="S256" s="14">
        <v>1</v>
      </c>
      <c r="T256" s="14">
        <v>21</v>
      </c>
      <c r="U256" s="14" t="s">
        <v>42</v>
      </c>
      <c r="V256" s="14" t="s">
        <v>424</v>
      </c>
      <c r="W256" s="14" t="s">
        <v>44</v>
      </c>
      <c r="X256" s="14">
        <v>1</v>
      </c>
      <c r="Y256" s="14" t="s">
        <v>147</v>
      </c>
      <c r="Z256" s="17">
        <v>2</v>
      </c>
      <c r="AA256" s="14">
        <v>1</v>
      </c>
      <c r="AB256" s="14">
        <v>5</v>
      </c>
      <c r="AC256" s="14">
        <v>0</v>
      </c>
      <c r="AD256" s="17">
        <f>IFERROR(Z256/(AA256*AB256)*AC256*AA256,"")</f>
        <v>0</v>
      </c>
      <c r="AE256" s="17">
        <f>Z256+AD256</f>
        <v>2</v>
      </c>
      <c r="AF256" s="17"/>
      <c r="AG256" s="14">
        <f>AB256+AC256</f>
        <v>5</v>
      </c>
      <c r="AH256" s="18"/>
      <c r="AI256" s="19"/>
      <c r="AJ256" s="19"/>
      <c r="AK256" s="19"/>
      <c r="AL256" s="19"/>
      <c r="AM256" s="19"/>
    </row>
    <row r="257" spans="1:39" ht="15.75" customHeight="1">
      <c r="A257" s="2"/>
      <c r="B257" s="20" t="s">
        <v>542</v>
      </c>
      <c r="C257" s="14" t="s">
        <v>109</v>
      </c>
      <c r="D257" s="14">
        <v>25</v>
      </c>
      <c r="E257" s="14" t="s">
        <v>543</v>
      </c>
      <c r="F257" s="14">
        <v>21</v>
      </c>
      <c r="G257" s="15">
        <v>8.4</v>
      </c>
      <c r="H257" s="14" t="s">
        <v>58</v>
      </c>
      <c r="I257" s="14" t="s">
        <v>37</v>
      </c>
      <c r="J257" s="14" t="s">
        <v>38</v>
      </c>
      <c r="K257" s="14" t="s">
        <v>38</v>
      </c>
      <c r="L257" s="14" t="s">
        <v>39</v>
      </c>
      <c r="M257" s="14" t="s">
        <v>40</v>
      </c>
      <c r="N257" s="14" t="s">
        <v>38</v>
      </c>
      <c r="O257" s="14" t="s">
        <v>41</v>
      </c>
      <c r="P257" s="14">
        <v>74.8</v>
      </c>
      <c r="Q257" s="14">
        <v>40.9</v>
      </c>
      <c r="R257" s="14">
        <v>48</v>
      </c>
      <c r="S257" s="14">
        <v>2</v>
      </c>
      <c r="T257" s="14">
        <v>0</v>
      </c>
      <c r="U257" s="14" t="s">
        <v>42</v>
      </c>
      <c r="V257" s="14" t="s">
        <v>43</v>
      </c>
      <c r="W257" s="14" t="s">
        <v>44</v>
      </c>
      <c r="X257" s="14">
        <v>2</v>
      </c>
      <c r="Y257" s="14" t="s">
        <v>147</v>
      </c>
      <c r="Z257" s="17">
        <v>1.6979166666666667</v>
      </c>
      <c r="AA257" s="14">
        <v>1</v>
      </c>
      <c r="AB257" s="14">
        <v>5</v>
      </c>
      <c r="AC257" s="14">
        <v>0</v>
      </c>
      <c r="AD257" s="17">
        <f>IFERROR(Z257/(AA257*AB257)*AC257*AA257,"")</f>
        <v>0</v>
      </c>
      <c r="AE257" s="17">
        <f>Z257+AD257</f>
        <v>1.6979166666666667</v>
      </c>
      <c r="AF257" s="17"/>
      <c r="AG257" s="14">
        <f>AB257+AC257</f>
        <v>5</v>
      </c>
      <c r="AH257" s="18"/>
      <c r="AI257" s="19"/>
      <c r="AJ257" s="19"/>
      <c r="AK257" s="19"/>
      <c r="AL257" s="19"/>
      <c r="AM257" s="19"/>
    </row>
    <row r="258" spans="1:39" ht="15.75" customHeight="1">
      <c r="A258" s="2"/>
      <c r="B258" s="20" t="s">
        <v>544</v>
      </c>
      <c r="C258" s="14" t="s">
        <v>69</v>
      </c>
      <c r="D258" s="14" t="s">
        <v>545</v>
      </c>
      <c r="E258" s="14">
        <v>180</v>
      </c>
      <c r="F258" s="14">
        <v>36</v>
      </c>
      <c r="G258" s="15">
        <v>16.559999999999999</v>
      </c>
      <c r="H258" s="14" t="s">
        <v>58</v>
      </c>
      <c r="I258" s="14" t="s">
        <v>37</v>
      </c>
      <c r="J258" s="14" t="s">
        <v>38</v>
      </c>
      <c r="K258" s="14" t="s">
        <v>38</v>
      </c>
      <c r="L258" s="14" t="s">
        <v>39</v>
      </c>
      <c r="M258" s="14" t="s">
        <v>40</v>
      </c>
      <c r="N258" s="14" t="s">
        <v>38</v>
      </c>
      <c r="O258" s="14" t="s">
        <v>103</v>
      </c>
      <c r="P258" s="14">
        <v>68</v>
      </c>
      <c r="Q258" s="14">
        <v>47.4</v>
      </c>
      <c r="R258" s="14">
        <v>50</v>
      </c>
      <c r="S258" s="14">
        <v>3</v>
      </c>
      <c r="T258" s="14">
        <v>0</v>
      </c>
      <c r="U258" s="14" t="s">
        <v>42</v>
      </c>
      <c r="V258" s="14" t="s">
        <v>43</v>
      </c>
      <c r="W258" s="14" t="s">
        <v>85</v>
      </c>
      <c r="X258" s="14">
        <v>2</v>
      </c>
      <c r="Y258" s="14" t="s">
        <v>147</v>
      </c>
      <c r="Z258" s="17">
        <v>3.9270833333333335</v>
      </c>
      <c r="AA258" s="14">
        <v>4</v>
      </c>
      <c r="AB258" s="14">
        <v>5</v>
      </c>
      <c r="AC258" s="14">
        <v>0</v>
      </c>
      <c r="AD258" s="17">
        <f>IFERROR(Z258/(AA258*AB258)*AC258*AA258,"")</f>
        <v>0</v>
      </c>
      <c r="AE258" s="17">
        <f>Z258+AD258</f>
        <v>3.9270833333333335</v>
      </c>
      <c r="AF258" s="17"/>
      <c r="AG258" s="14">
        <f>AB258+AC258</f>
        <v>5</v>
      </c>
      <c r="AH258" s="18"/>
      <c r="AI258" s="19"/>
      <c r="AJ258" s="19"/>
      <c r="AK258" s="19"/>
      <c r="AL258" s="19"/>
      <c r="AM258" s="19"/>
    </row>
    <row r="259" spans="1:39" ht="15.75" customHeight="1">
      <c r="A259" s="2"/>
      <c r="B259" s="20" t="s">
        <v>546</v>
      </c>
      <c r="C259" s="14" t="s">
        <v>325</v>
      </c>
      <c r="D259" s="14">
        <v>18.399999999999999</v>
      </c>
      <c r="E259" s="14">
        <v>180</v>
      </c>
      <c r="F259" s="14">
        <v>10</v>
      </c>
      <c r="G259" s="15">
        <v>4.25</v>
      </c>
      <c r="H259" s="14" t="s">
        <v>58</v>
      </c>
      <c r="I259" s="14" t="s">
        <v>37</v>
      </c>
      <c r="J259" s="14" t="s">
        <v>38</v>
      </c>
      <c r="K259" s="14" t="s">
        <v>40</v>
      </c>
      <c r="L259" s="14" t="s">
        <v>50</v>
      </c>
      <c r="M259" s="14" t="s">
        <v>38</v>
      </c>
      <c r="N259" s="14" t="s">
        <v>38</v>
      </c>
      <c r="O259" s="14" t="s">
        <v>290</v>
      </c>
      <c r="P259" s="14">
        <v>67.8</v>
      </c>
      <c r="Q259" s="14">
        <v>44.6</v>
      </c>
      <c r="R259" s="14">
        <v>46.7</v>
      </c>
      <c r="S259" s="14">
        <v>1</v>
      </c>
      <c r="T259" s="14">
        <v>4</v>
      </c>
      <c r="U259" s="14" t="s">
        <v>42</v>
      </c>
      <c r="V259" s="14" t="s">
        <v>424</v>
      </c>
      <c r="W259" s="14" t="s">
        <v>44</v>
      </c>
      <c r="X259" s="14">
        <v>1</v>
      </c>
      <c r="Y259" s="14" t="s">
        <v>147</v>
      </c>
      <c r="Z259" s="17">
        <v>1.3645833333333333</v>
      </c>
      <c r="AA259" s="14">
        <v>1</v>
      </c>
      <c r="AB259" s="14">
        <v>4</v>
      </c>
      <c r="AC259" s="14">
        <v>0</v>
      </c>
      <c r="AD259" s="17">
        <f>IFERROR(Z259/(AA259*AB259)*AC259*AA259,"")</f>
        <v>0</v>
      </c>
      <c r="AE259" s="17">
        <f>Z259+AD259</f>
        <v>1.3645833333333333</v>
      </c>
      <c r="AF259" s="17"/>
      <c r="AG259" s="14">
        <f>AB259+AC259</f>
        <v>4</v>
      </c>
      <c r="AH259" s="18"/>
      <c r="AI259" s="19"/>
      <c r="AJ259" s="19"/>
      <c r="AK259" s="19"/>
      <c r="AL259" s="19"/>
      <c r="AM259" s="19"/>
    </row>
    <row r="260" spans="1:39" ht="15.75" customHeight="1">
      <c r="A260" s="2"/>
      <c r="B260" s="20" t="s">
        <v>547</v>
      </c>
      <c r="C260" s="14" t="s">
        <v>239</v>
      </c>
      <c r="D260" s="14">
        <v>27</v>
      </c>
      <c r="E260" s="14" t="s">
        <v>548</v>
      </c>
      <c r="F260" s="14">
        <v>23</v>
      </c>
      <c r="G260" s="15">
        <v>9.1999999999999993</v>
      </c>
      <c r="H260" s="14" t="s">
        <v>58</v>
      </c>
      <c r="I260" s="14" t="s">
        <v>37</v>
      </c>
      <c r="J260" s="14" t="s">
        <v>38</v>
      </c>
      <c r="K260" s="14" t="s">
        <v>38</v>
      </c>
      <c r="L260" s="14" t="s">
        <v>39</v>
      </c>
      <c r="M260" s="14" t="s">
        <v>40</v>
      </c>
      <c r="N260" s="14" t="s">
        <v>40</v>
      </c>
      <c r="O260" s="14" t="s">
        <v>41</v>
      </c>
      <c r="P260" s="14">
        <v>74.8</v>
      </c>
      <c r="Q260" s="14">
        <v>40.9</v>
      </c>
      <c r="R260" s="14">
        <v>48</v>
      </c>
      <c r="S260" s="14">
        <v>2</v>
      </c>
      <c r="T260" s="14">
        <v>0</v>
      </c>
      <c r="U260" s="14" t="s">
        <v>42</v>
      </c>
      <c r="V260" s="14" t="s">
        <v>43</v>
      </c>
      <c r="W260" s="14" t="s">
        <v>44</v>
      </c>
      <c r="X260" s="14">
        <v>1</v>
      </c>
      <c r="Y260" s="14" t="s">
        <v>147</v>
      </c>
      <c r="Z260" s="17">
        <v>1.6979166666666667</v>
      </c>
      <c r="AA260" s="14">
        <v>1</v>
      </c>
      <c r="AB260" s="14">
        <v>5</v>
      </c>
      <c r="AC260" s="14">
        <v>0</v>
      </c>
      <c r="AD260" s="17">
        <f>IFERROR(Z260/(AA260*AB260)*AC260*AA260,"")</f>
        <v>0</v>
      </c>
      <c r="AE260" s="17">
        <f>Z260+AD260</f>
        <v>1.6979166666666667</v>
      </c>
      <c r="AF260" s="17"/>
      <c r="AG260" s="14">
        <f>AB260+AC260</f>
        <v>5</v>
      </c>
      <c r="AH260" s="18"/>
      <c r="AI260" s="19"/>
      <c r="AJ260" s="19"/>
      <c r="AK260" s="19"/>
      <c r="AL260" s="19"/>
      <c r="AM260" s="19"/>
    </row>
    <row r="261" spans="1:39" ht="15.75" customHeight="1">
      <c r="A261" s="2"/>
      <c r="B261" s="20" t="s">
        <v>549</v>
      </c>
      <c r="C261" s="14" t="s">
        <v>47</v>
      </c>
      <c r="D261" s="14">
        <v>20</v>
      </c>
      <c r="E261" s="14">
        <v>180</v>
      </c>
      <c r="F261" s="14">
        <v>16</v>
      </c>
      <c r="G261" s="15">
        <v>7.36</v>
      </c>
      <c r="H261" s="14" t="s">
        <v>58</v>
      </c>
      <c r="I261" s="14" t="s">
        <v>37</v>
      </c>
      <c r="J261" s="14" t="s">
        <v>38</v>
      </c>
      <c r="K261" s="14" t="s">
        <v>38</v>
      </c>
      <c r="L261" s="14" t="s">
        <v>50</v>
      </c>
      <c r="M261" s="14" t="s">
        <v>40</v>
      </c>
      <c r="N261" s="14" t="s">
        <v>38</v>
      </c>
      <c r="O261" s="14" t="s">
        <v>41</v>
      </c>
      <c r="P261" s="14">
        <v>68</v>
      </c>
      <c r="Q261" s="14">
        <v>47.4</v>
      </c>
      <c r="R261" s="14">
        <v>50</v>
      </c>
      <c r="S261" s="14">
        <v>1</v>
      </c>
      <c r="T261" s="14">
        <v>0</v>
      </c>
      <c r="U261" s="14" t="s">
        <v>42</v>
      </c>
      <c r="V261" s="14" t="s">
        <v>43</v>
      </c>
      <c r="W261" s="14" t="s">
        <v>85</v>
      </c>
      <c r="X261" s="14">
        <v>1</v>
      </c>
      <c r="Y261" s="14" t="s">
        <v>147</v>
      </c>
      <c r="Z261" s="17">
        <v>1.8020833333333333</v>
      </c>
      <c r="AA261" s="14">
        <v>2</v>
      </c>
      <c r="AB261" s="14">
        <v>5</v>
      </c>
      <c r="AC261" s="14">
        <v>0</v>
      </c>
      <c r="AD261" s="17">
        <f>IFERROR(Z261/(AA261*AB261)*AC261*AA261,"")</f>
        <v>0</v>
      </c>
      <c r="AE261" s="17">
        <f>Z261+AD261</f>
        <v>1.8020833333333333</v>
      </c>
      <c r="AF261" s="17"/>
      <c r="AG261" s="14">
        <f>AB261+AC261</f>
        <v>5</v>
      </c>
      <c r="AH261" s="18"/>
      <c r="AI261" s="19"/>
      <c r="AJ261" s="19"/>
      <c r="AK261" s="19"/>
      <c r="AL261" s="19"/>
      <c r="AM261" s="19"/>
    </row>
    <row r="262" spans="1:39" ht="15.75" customHeight="1">
      <c r="A262" s="2"/>
      <c r="B262" s="20" t="s">
        <v>550</v>
      </c>
      <c r="C262" s="14" t="s">
        <v>183</v>
      </c>
      <c r="D262" s="14">
        <v>34</v>
      </c>
      <c r="E262" s="14">
        <v>227</v>
      </c>
      <c r="F262" s="14">
        <v>18</v>
      </c>
      <c r="G262" s="15">
        <v>7.2</v>
      </c>
      <c r="H262" s="14" t="s">
        <v>58</v>
      </c>
      <c r="I262" s="14" t="s">
        <v>37</v>
      </c>
      <c r="J262" s="14" t="s">
        <v>38</v>
      </c>
      <c r="K262" s="14" t="s">
        <v>38</v>
      </c>
      <c r="L262" s="14" t="s">
        <v>50</v>
      </c>
      <c r="M262" s="14" t="s">
        <v>38</v>
      </c>
      <c r="N262" s="14" t="s">
        <v>38</v>
      </c>
      <c r="O262" s="14" t="s">
        <v>103</v>
      </c>
      <c r="P262" s="14">
        <v>74.8</v>
      </c>
      <c r="Q262" s="14">
        <v>40.9</v>
      </c>
      <c r="R262" s="14">
        <v>48</v>
      </c>
      <c r="S262" s="14">
        <v>1</v>
      </c>
      <c r="T262" s="14">
        <v>15</v>
      </c>
      <c r="U262" s="14" t="s">
        <v>42</v>
      </c>
      <c r="V262" s="14" t="s">
        <v>424</v>
      </c>
      <c r="W262" s="14" t="s">
        <v>44</v>
      </c>
      <c r="X262" s="14">
        <v>2</v>
      </c>
      <c r="Y262" s="14" t="s">
        <v>147</v>
      </c>
      <c r="Z262" s="17">
        <v>1.6041666666666667</v>
      </c>
      <c r="AA262" s="14">
        <v>1</v>
      </c>
      <c r="AB262" s="14">
        <v>4</v>
      </c>
      <c r="AC262" s="14">
        <v>0</v>
      </c>
      <c r="AD262" s="17">
        <f>IFERROR(Z262/(AA262*AB262)*AC262*AA262,"")</f>
        <v>0</v>
      </c>
      <c r="AE262" s="17">
        <f>Z262+AD262</f>
        <v>1.6041666666666667</v>
      </c>
      <c r="AF262" s="17"/>
      <c r="AG262" s="14">
        <f>AB262+AC262</f>
        <v>4</v>
      </c>
      <c r="AH262" s="18"/>
      <c r="AI262" s="19"/>
      <c r="AJ262" s="19"/>
      <c r="AK262" s="19"/>
      <c r="AL262" s="19"/>
      <c r="AM262" s="19"/>
    </row>
    <row r="263" spans="1:39" ht="15.75" customHeight="1">
      <c r="A263" s="2"/>
      <c r="B263" s="20" t="s">
        <v>551</v>
      </c>
      <c r="C263" s="14" t="s">
        <v>285</v>
      </c>
      <c r="D263" s="14">
        <v>27</v>
      </c>
      <c r="E263" s="14" t="s">
        <v>552</v>
      </c>
      <c r="F263" s="14">
        <v>23</v>
      </c>
      <c r="G263" s="15">
        <v>9.1999999999999993</v>
      </c>
      <c r="H263" s="14" t="s">
        <v>58</v>
      </c>
      <c r="I263" s="14" t="s">
        <v>37</v>
      </c>
      <c r="J263" s="14" t="s">
        <v>38</v>
      </c>
      <c r="K263" s="14" t="s">
        <v>38</v>
      </c>
      <c r="L263" s="14" t="s">
        <v>39</v>
      </c>
      <c r="M263" s="14" t="s">
        <v>40</v>
      </c>
      <c r="N263" s="14" t="s">
        <v>40</v>
      </c>
      <c r="O263" s="14" t="s">
        <v>41</v>
      </c>
      <c r="P263" s="14">
        <v>74.8</v>
      </c>
      <c r="Q263" s="14">
        <v>40.9</v>
      </c>
      <c r="R263" s="14">
        <v>48</v>
      </c>
      <c r="S263" s="14">
        <v>2</v>
      </c>
      <c r="T263" s="14">
        <v>0</v>
      </c>
      <c r="U263" s="14" t="s">
        <v>42</v>
      </c>
      <c r="V263" s="14" t="s">
        <v>43</v>
      </c>
      <c r="W263" s="14" t="s">
        <v>44</v>
      </c>
      <c r="X263" s="14">
        <v>2</v>
      </c>
      <c r="Y263" s="14" t="s">
        <v>147</v>
      </c>
      <c r="Z263" s="17">
        <v>1.5520833333333333</v>
      </c>
      <c r="AA263" s="14">
        <v>2</v>
      </c>
      <c r="AB263" s="14">
        <v>4</v>
      </c>
      <c r="AC263" s="14">
        <v>0</v>
      </c>
      <c r="AD263" s="17">
        <f>IFERROR(Z263/(AA263*AB263)*AC263*AA263,"")</f>
        <v>0</v>
      </c>
      <c r="AE263" s="17">
        <f>Z263+AD263</f>
        <v>1.5520833333333333</v>
      </c>
      <c r="AF263" s="17"/>
      <c r="AG263" s="14">
        <f>AB263+AC263</f>
        <v>4</v>
      </c>
      <c r="AH263" s="18"/>
      <c r="AI263" s="19"/>
      <c r="AJ263" s="19"/>
      <c r="AK263" s="19"/>
      <c r="AL263" s="19"/>
      <c r="AM263" s="19"/>
    </row>
    <row r="264" spans="1:39" ht="15.75" customHeight="1">
      <c r="A264" s="2"/>
      <c r="B264" s="20" t="s">
        <v>553</v>
      </c>
      <c r="C264" s="14" t="s">
        <v>183</v>
      </c>
      <c r="D264" s="14">
        <v>18</v>
      </c>
      <c r="E264" s="14" t="s">
        <v>554</v>
      </c>
      <c r="F264" s="14">
        <v>18</v>
      </c>
      <c r="G264" s="15">
        <v>7.2</v>
      </c>
      <c r="H264" s="14" t="s">
        <v>58</v>
      </c>
      <c r="I264" s="14" t="s">
        <v>37</v>
      </c>
      <c r="J264" s="14" t="s">
        <v>38</v>
      </c>
      <c r="K264" s="14" t="s">
        <v>38</v>
      </c>
      <c r="L264" s="14" t="s">
        <v>50</v>
      </c>
      <c r="M264" s="14" t="s">
        <v>38</v>
      </c>
      <c r="N264" s="14" t="s">
        <v>38</v>
      </c>
      <c r="O264" s="14" t="s">
        <v>41</v>
      </c>
      <c r="P264" s="14">
        <v>74.8</v>
      </c>
      <c r="Q264" s="14">
        <v>40.9</v>
      </c>
      <c r="R264" s="14">
        <v>48</v>
      </c>
      <c r="S264" s="14">
        <v>2</v>
      </c>
      <c r="T264" s="14">
        <v>6</v>
      </c>
      <c r="U264" s="14" t="s">
        <v>42</v>
      </c>
      <c r="V264" s="14" t="s">
        <v>43</v>
      </c>
      <c r="W264" s="14" t="s">
        <v>44</v>
      </c>
      <c r="X264" s="14">
        <v>1</v>
      </c>
      <c r="Y264" s="14" t="s">
        <v>147</v>
      </c>
      <c r="Z264" s="17">
        <v>1.5833333333333333</v>
      </c>
      <c r="AA264" s="14">
        <v>1</v>
      </c>
      <c r="AB264" s="14">
        <v>5</v>
      </c>
      <c r="AC264" s="14">
        <v>0</v>
      </c>
      <c r="AD264" s="17">
        <f>IFERROR(Z264/(AA264*AB264)*AC264*AA264,"")</f>
        <v>0</v>
      </c>
      <c r="AE264" s="17">
        <f>Z264+AD264</f>
        <v>1.5833333333333333</v>
      </c>
      <c r="AF264" s="17"/>
      <c r="AG264" s="14">
        <f>AB264+AC264</f>
        <v>5</v>
      </c>
      <c r="AH264" s="18"/>
      <c r="AI264" s="19"/>
      <c r="AJ264" s="19"/>
      <c r="AK264" s="19"/>
      <c r="AL264" s="19"/>
      <c r="AM264" s="19"/>
    </row>
    <row r="265" spans="1:39" ht="15.75" customHeight="1">
      <c r="A265" s="2"/>
      <c r="B265" s="20" t="s">
        <v>555</v>
      </c>
      <c r="C265" s="14" t="s">
        <v>137</v>
      </c>
      <c r="D265" s="14">
        <v>39</v>
      </c>
      <c r="E265" s="14">
        <v>179</v>
      </c>
      <c r="F265" s="14">
        <v>14</v>
      </c>
      <c r="G265" s="15">
        <v>5.74</v>
      </c>
      <c r="H265" s="14" t="s">
        <v>58</v>
      </c>
      <c r="I265" s="14" t="s">
        <v>37</v>
      </c>
      <c r="J265" s="14" t="s">
        <v>38</v>
      </c>
      <c r="K265" s="14" t="s">
        <v>40</v>
      </c>
      <c r="L265" s="14" t="s">
        <v>50</v>
      </c>
      <c r="M265" s="14" t="s">
        <v>40</v>
      </c>
      <c r="N265" s="14" t="s">
        <v>40</v>
      </c>
      <c r="O265" s="14" t="s">
        <v>41</v>
      </c>
      <c r="P265" s="14">
        <v>69.37</v>
      </c>
      <c r="Q265" s="14">
        <v>44.65</v>
      </c>
      <c r="R265" s="14">
        <v>47</v>
      </c>
      <c r="S265" s="14">
        <v>1</v>
      </c>
      <c r="T265" s="14">
        <v>0</v>
      </c>
      <c r="U265" s="14" t="s">
        <v>42</v>
      </c>
      <c r="V265" s="14" t="s">
        <v>43</v>
      </c>
      <c r="W265" s="14" t="s">
        <v>62</v>
      </c>
      <c r="X265" s="14">
        <v>1</v>
      </c>
      <c r="Y265" s="14" t="s">
        <v>147</v>
      </c>
      <c r="Z265" s="17">
        <v>1.6979166666666667</v>
      </c>
      <c r="AA265" s="14">
        <v>1</v>
      </c>
      <c r="AB265" s="14">
        <v>5</v>
      </c>
      <c r="AC265" s="14">
        <v>0</v>
      </c>
      <c r="AD265" s="17">
        <f>IFERROR(Z265/(AA265*AB265)*AC265*AA265,"")</f>
        <v>0</v>
      </c>
      <c r="AE265" s="17">
        <f>Z265+AD265</f>
        <v>1.6979166666666667</v>
      </c>
      <c r="AF265" s="17"/>
      <c r="AG265" s="14">
        <f>AB265+AC265</f>
        <v>5</v>
      </c>
      <c r="AH265" s="18"/>
      <c r="AI265" s="19"/>
      <c r="AJ265" s="19"/>
      <c r="AK265" s="19"/>
      <c r="AL265" s="19"/>
      <c r="AM265" s="19"/>
    </row>
    <row r="266" spans="1:39" ht="15.75" customHeight="1">
      <c r="A266" s="2"/>
      <c r="B266" s="20" t="s">
        <v>556</v>
      </c>
      <c r="C266" s="14" t="s">
        <v>462</v>
      </c>
      <c r="D266" s="14">
        <v>18.399999999999999</v>
      </c>
      <c r="E266" s="14">
        <v>182</v>
      </c>
      <c r="F266" s="14">
        <v>21</v>
      </c>
      <c r="G266" s="15">
        <v>8.4</v>
      </c>
      <c r="H266" s="14" t="s">
        <v>58</v>
      </c>
      <c r="I266" s="14" t="s">
        <v>37</v>
      </c>
      <c r="J266" s="14" t="s">
        <v>40</v>
      </c>
      <c r="K266" s="14" t="s">
        <v>40</v>
      </c>
      <c r="L266" s="14" t="s">
        <v>122</v>
      </c>
      <c r="M266" s="14" t="s">
        <v>40</v>
      </c>
      <c r="N266" s="14" t="s">
        <v>40</v>
      </c>
      <c r="O266" s="14" t="s">
        <v>80</v>
      </c>
      <c r="P266" s="14">
        <v>74.8</v>
      </c>
      <c r="Q266" s="14">
        <v>40.9</v>
      </c>
      <c r="R266" s="14">
        <v>48</v>
      </c>
      <c r="S266" s="14">
        <v>1</v>
      </c>
      <c r="T266" s="14">
        <v>0</v>
      </c>
      <c r="U266" s="14" t="s">
        <v>123</v>
      </c>
      <c r="V266" s="14" t="s">
        <v>124</v>
      </c>
      <c r="W266" s="14" t="s">
        <v>85</v>
      </c>
      <c r="X266" s="14">
        <v>1</v>
      </c>
      <c r="Y266" s="14" t="s">
        <v>147</v>
      </c>
      <c r="Z266" s="17">
        <v>1.875</v>
      </c>
      <c r="AA266" s="14">
        <v>2</v>
      </c>
      <c r="AB266" s="14">
        <v>5</v>
      </c>
      <c r="AC266" s="14">
        <v>0</v>
      </c>
      <c r="AD266" s="17">
        <f>IFERROR(Z266/(AA266*AB266)*AC266*AA266,"")</f>
        <v>0</v>
      </c>
      <c r="AE266" s="17">
        <f>Z266+AD266</f>
        <v>1.875</v>
      </c>
      <c r="AF266" s="17"/>
      <c r="AG266" s="14">
        <f>AB266+AC266</f>
        <v>5</v>
      </c>
      <c r="AH266" s="18"/>
      <c r="AI266" s="19"/>
      <c r="AJ266" s="19"/>
      <c r="AK266" s="19"/>
      <c r="AL266" s="19"/>
      <c r="AM266" s="19"/>
    </row>
    <row r="267" spans="1:39" ht="15.75" customHeight="1">
      <c r="A267" s="2"/>
      <c r="B267" s="20" t="s">
        <v>557</v>
      </c>
      <c r="C267" s="14" t="s">
        <v>306</v>
      </c>
      <c r="D267" s="14">
        <v>18.399999999999999</v>
      </c>
      <c r="E267" s="14">
        <v>181</v>
      </c>
      <c r="F267" s="14">
        <v>26</v>
      </c>
      <c r="G267" s="15">
        <v>10.4</v>
      </c>
      <c r="H267" s="14" t="s">
        <v>58</v>
      </c>
      <c r="I267" s="14" t="s">
        <v>37</v>
      </c>
      <c r="J267" s="14" t="s">
        <v>38</v>
      </c>
      <c r="K267" s="14" t="s">
        <v>38</v>
      </c>
      <c r="L267" s="14" t="s">
        <v>39</v>
      </c>
      <c r="M267" s="14" t="s">
        <v>40</v>
      </c>
      <c r="N267" s="14" t="s">
        <v>40</v>
      </c>
      <c r="O267" s="14" t="s">
        <v>41</v>
      </c>
      <c r="P267" s="14">
        <v>74.8</v>
      </c>
      <c r="Q267" s="14">
        <v>40.9</v>
      </c>
      <c r="R267" s="14">
        <v>48</v>
      </c>
      <c r="S267" s="14">
        <v>2</v>
      </c>
      <c r="T267" s="14">
        <v>0</v>
      </c>
      <c r="U267" s="14" t="s">
        <v>42</v>
      </c>
      <c r="V267" s="14" t="s">
        <v>43</v>
      </c>
      <c r="W267" s="14" t="s">
        <v>62</v>
      </c>
      <c r="X267" s="14">
        <v>2</v>
      </c>
      <c r="Y267" s="14" t="s">
        <v>147</v>
      </c>
      <c r="Z267" s="17">
        <v>1.1354166666666667</v>
      </c>
      <c r="AA267" s="14">
        <v>1</v>
      </c>
      <c r="AB267" s="14">
        <v>4</v>
      </c>
      <c r="AC267" s="14">
        <v>0</v>
      </c>
      <c r="AD267" s="17">
        <f>IFERROR(Z267/(AA267*AB267)*AC267*AA267,"")</f>
        <v>0</v>
      </c>
      <c r="AE267" s="17">
        <f>Z267+AD267</f>
        <v>1.1354166666666667</v>
      </c>
      <c r="AF267" s="17"/>
      <c r="AG267" s="14">
        <f>AB267+AC267</f>
        <v>4</v>
      </c>
      <c r="AH267" s="18"/>
      <c r="AI267" s="19"/>
      <c r="AJ267" s="19"/>
      <c r="AK267" s="19"/>
      <c r="AL267" s="19"/>
      <c r="AM267" s="19"/>
    </row>
    <row r="268" spans="1:39" ht="15.75" customHeight="1">
      <c r="A268" s="2"/>
      <c r="B268" s="20" t="s">
        <v>558</v>
      </c>
      <c r="C268" s="14" t="s">
        <v>285</v>
      </c>
      <c r="D268" s="14">
        <v>33</v>
      </c>
      <c r="E268" s="14">
        <v>165</v>
      </c>
      <c r="F268" s="14">
        <v>25</v>
      </c>
      <c r="G268" s="15">
        <v>10</v>
      </c>
      <c r="H268" s="14" t="s">
        <v>58</v>
      </c>
      <c r="I268" s="14" t="s">
        <v>37</v>
      </c>
      <c r="J268" s="14" t="s">
        <v>38</v>
      </c>
      <c r="K268" s="14" t="s">
        <v>38</v>
      </c>
      <c r="L268" s="14" t="s">
        <v>39</v>
      </c>
      <c r="M268" s="14" t="s">
        <v>40</v>
      </c>
      <c r="N268" s="14" t="s">
        <v>40</v>
      </c>
      <c r="O268" s="14" t="s">
        <v>41</v>
      </c>
      <c r="P268" s="14">
        <v>74.8</v>
      </c>
      <c r="Q268" s="14">
        <v>40.9</v>
      </c>
      <c r="R268" s="14">
        <v>48</v>
      </c>
      <c r="S268" s="14">
        <v>1</v>
      </c>
      <c r="T268" s="14">
        <v>0</v>
      </c>
      <c r="U268" s="14" t="s">
        <v>42</v>
      </c>
      <c r="V268" s="14" t="s">
        <v>43</v>
      </c>
      <c r="W268" s="14" t="s">
        <v>62</v>
      </c>
      <c r="X268" s="14">
        <v>1</v>
      </c>
      <c r="Y268" s="14" t="s">
        <v>147</v>
      </c>
      <c r="Z268" s="17">
        <v>1.90625</v>
      </c>
      <c r="AA268" s="14">
        <v>1</v>
      </c>
      <c r="AB268" s="14">
        <v>5</v>
      </c>
      <c r="AC268" s="14">
        <v>0</v>
      </c>
      <c r="AD268" s="17">
        <f>IFERROR(Z268/(AA268*AB268)*AC268*AA268,"")</f>
        <v>0</v>
      </c>
      <c r="AE268" s="17">
        <f>Z268+AD268</f>
        <v>1.90625</v>
      </c>
      <c r="AF268" s="17"/>
      <c r="AG268" s="14">
        <f>AB268+AC268</f>
        <v>5</v>
      </c>
      <c r="AH268" s="18"/>
      <c r="AI268" s="19"/>
      <c r="AJ268" s="19"/>
      <c r="AK268" s="19"/>
      <c r="AL268" s="19"/>
      <c r="AM268" s="19"/>
    </row>
    <row r="269" spans="1:39" ht="15.75" customHeight="1">
      <c r="A269" s="2"/>
      <c r="B269" s="20" t="s">
        <v>559</v>
      </c>
      <c r="C269" s="14" t="s">
        <v>149</v>
      </c>
      <c r="D269" s="14">
        <v>18.399999999999999</v>
      </c>
      <c r="E269" s="14">
        <v>180</v>
      </c>
      <c r="F269" s="14">
        <v>18</v>
      </c>
      <c r="G269" s="15">
        <v>7.2</v>
      </c>
      <c r="H269" s="14" t="s">
        <v>58</v>
      </c>
      <c r="I269" s="14" t="s">
        <v>37</v>
      </c>
      <c r="J269" s="14" t="s">
        <v>38</v>
      </c>
      <c r="K269" s="14" t="s">
        <v>38</v>
      </c>
      <c r="L269" s="14" t="s">
        <v>39</v>
      </c>
      <c r="M269" s="14" t="s">
        <v>40</v>
      </c>
      <c r="N269" s="14" t="s">
        <v>40</v>
      </c>
      <c r="O269" s="14" t="s">
        <v>135</v>
      </c>
      <c r="P269" s="14">
        <v>74.8</v>
      </c>
      <c r="Q269" s="14">
        <v>40.9</v>
      </c>
      <c r="R269" s="14">
        <v>48</v>
      </c>
      <c r="S269" s="14">
        <v>1</v>
      </c>
      <c r="T269" s="14">
        <v>0</v>
      </c>
      <c r="U269" s="14" t="s">
        <v>42</v>
      </c>
      <c r="V269" s="14" t="s">
        <v>43</v>
      </c>
      <c r="W269" s="14" t="s">
        <v>44</v>
      </c>
      <c r="X269" s="14">
        <v>0</v>
      </c>
      <c r="Y269" s="14" t="s">
        <v>222</v>
      </c>
      <c r="Z269" s="17">
        <v>1.5</v>
      </c>
      <c r="AA269" s="14">
        <v>1</v>
      </c>
      <c r="AB269" s="14">
        <v>5</v>
      </c>
      <c r="AC269" s="14">
        <v>0</v>
      </c>
      <c r="AD269" s="17">
        <f>IFERROR(Z269/(AA269*AB269)*AC269*AA269,"")</f>
        <v>0</v>
      </c>
      <c r="AE269" s="17">
        <f>Z269+AD269</f>
        <v>1.5</v>
      </c>
      <c r="AF269" s="17"/>
      <c r="AG269" s="14">
        <f>AB269+AC269</f>
        <v>5</v>
      </c>
      <c r="AH269" s="18"/>
      <c r="AI269" s="19"/>
      <c r="AJ269" s="19"/>
      <c r="AK269" s="19"/>
      <c r="AL269" s="19"/>
      <c r="AM269" s="19"/>
    </row>
    <row r="270" spans="1:39" ht="15.75" customHeight="1">
      <c r="A270" s="2"/>
      <c r="B270" s="20" t="s">
        <v>560</v>
      </c>
      <c r="C270" s="14" t="s">
        <v>109</v>
      </c>
      <c r="D270" s="14">
        <v>26</v>
      </c>
      <c r="E270" s="14">
        <v>179</v>
      </c>
      <c r="F270" s="14">
        <v>8</v>
      </c>
      <c r="G270" s="15">
        <v>3.2</v>
      </c>
      <c r="H270" s="14" t="s">
        <v>58</v>
      </c>
      <c r="I270" s="14" t="s">
        <v>37</v>
      </c>
      <c r="J270" s="14" t="s">
        <v>40</v>
      </c>
      <c r="K270" s="14" t="s">
        <v>38</v>
      </c>
      <c r="L270" s="14" t="s">
        <v>39</v>
      </c>
      <c r="M270" s="14" t="s">
        <v>40</v>
      </c>
      <c r="N270" s="14" t="s">
        <v>38</v>
      </c>
      <c r="O270" s="14" t="s">
        <v>41</v>
      </c>
      <c r="P270" s="14">
        <v>74.8</v>
      </c>
      <c r="Q270" s="14">
        <v>40.9</v>
      </c>
      <c r="R270" s="14">
        <v>48</v>
      </c>
      <c r="S270" s="14">
        <v>1</v>
      </c>
      <c r="T270" s="14">
        <v>0</v>
      </c>
      <c r="U270" s="14" t="s">
        <v>112</v>
      </c>
      <c r="V270" s="14" t="s">
        <v>113</v>
      </c>
      <c r="W270" s="14" t="s">
        <v>44</v>
      </c>
      <c r="X270" s="14">
        <v>2</v>
      </c>
      <c r="Y270" s="14" t="s">
        <v>222</v>
      </c>
      <c r="Z270" s="17">
        <v>1.6041666666666667</v>
      </c>
      <c r="AA270" s="14">
        <v>1</v>
      </c>
      <c r="AB270" s="14">
        <v>5</v>
      </c>
      <c r="AC270" s="14">
        <v>0</v>
      </c>
      <c r="AD270" s="17">
        <f>IFERROR(Z270/(AA270*AB270)*AC270*AA270,"")</f>
        <v>0</v>
      </c>
      <c r="AE270" s="17">
        <f>Z270+AD270</f>
        <v>1.6041666666666667</v>
      </c>
      <c r="AF270" s="17"/>
      <c r="AG270" s="14">
        <f>AB270+AC270</f>
        <v>5</v>
      </c>
      <c r="AH270" s="18"/>
      <c r="AI270" s="19"/>
      <c r="AJ270" s="19"/>
      <c r="AK270" s="19"/>
      <c r="AL270" s="19"/>
      <c r="AM270" s="19"/>
    </row>
    <row r="271" spans="1:39" ht="15.75" customHeight="1">
      <c r="A271" s="2"/>
      <c r="B271" s="20" t="s">
        <v>561</v>
      </c>
      <c r="C271" s="14" t="s">
        <v>158</v>
      </c>
      <c r="D271" s="14">
        <v>25</v>
      </c>
      <c r="E271" s="14" t="s">
        <v>562</v>
      </c>
      <c r="F271" s="14">
        <v>12</v>
      </c>
      <c r="G271" s="15">
        <v>4.8</v>
      </c>
      <c r="H271" s="14" t="s">
        <v>58</v>
      </c>
      <c r="I271" s="14" t="s">
        <v>37</v>
      </c>
      <c r="J271" s="14" t="s">
        <v>38</v>
      </c>
      <c r="K271" s="14" t="s">
        <v>40</v>
      </c>
      <c r="L271" s="14" t="s">
        <v>39</v>
      </c>
      <c r="M271" s="14" t="s">
        <v>40</v>
      </c>
      <c r="N271" s="14" t="s">
        <v>38</v>
      </c>
      <c r="O271" s="14" t="s">
        <v>41</v>
      </c>
      <c r="P271" s="14">
        <v>74.8</v>
      </c>
      <c r="Q271" s="14">
        <v>40.9</v>
      </c>
      <c r="R271" s="14">
        <v>48</v>
      </c>
      <c r="S271" s="14">
        <v>2</v>
      </c>
      <c r="T271" s="14">
        <v>0</v>
      </c>
      <c r="U271" s="14" t="s">
        <v>42</v>
      </c>
      <c r="V271" s="14" t="s">
        <v>43</v>
      </c>
      <c r="W271" s="14" t="s">
        <v>44</v>
      </c>
      <c r="X271" s="14">
        <v>1</v>
      </c>
      <c r="Y271" s="14" t="s">
        <v>147</v>
      </c>
      <c r="Z271" s="17">
        <v>1.1597222222222223</v>
      </c>
      <c r="AA271" s="14">
        <v>1</v>
      </c>
      <c r="AB271" s="14">
        <v>5</v>
      </c>
      <c r="AC271" s="14">
        <v>0</v>
      </c>
      <c r="AD271" s="17">
        <f>IFERROR(Z271/(AA271*AB271)*AC271*AA271,"")</f>
        <v>0</v>
      </c>
      <c r="AE271" s="17">
        <f>Z271+AD271</f>
        <v>1.1597222222222223</v>
      </c>
      <c r="AF271" s="17"/>
      <c r="AG271" s="14">
        <f>AB271+AC271</f>
        <v>5</v>
      </c>
      <c r="AH271" s="18" t="s">
        <v>415</v>
      </c>
      <c r="AI271" s="19"/>
      <c r="AJ271" s="19"/>
      <c r="AK271" s="19"/>
      <c r="AL271" s="19"/>
      <c r="AM271" s="19"/>
    </row>
    <row r="272" spans="1:39" ht="15.75" customHeight="1">
      <c r="A272" s="2"/>
      <c r="B272" s="20" t="s">
        <v>563</v>
      </c>
      <c r="C272" s="14" t="s">
        <v>158</v>
      </c>
      <c r="D272" s="14">
        <v>25</v>
      </c>
      <c r="E272" s="14" t="s">
        <v>564</v>
      </c>
      <c r="F272" s="14">
        <v>12</v>
      </c>
      <c r="G272" s="15">
        <v>4.8</v>
      </c>
      <c r="H272" s="14" t="s">
        <v>58</v>
      </c>
      <c r="I272" s="14" t="s">
        <v>37</v>
      </c>
      <c r="J272" s="14" t="s">
        <v>38</v>
      </c>
      <c r="K272" s="14" t="s">
        <v>40</v>
      </c>
      <c r="L272" s="14" t="s">
        <v>39</v>
      </c>
      <c r="M272" s="14" t="s">
        <v>40</v>
      </c>
      <c r="N272" s="14" t="s">
        <v>38</v>
      </c>
      <c r="O272" s="14" t="s">
        <v>41</v>
      </c>
      <c r="P272" s="14">
        <v>74.8</v>
      </c>
      <c r="Q272" s="14">
        <v>40.9</v>
      </c>
      <c r="R272" s="14">
        <v>48</v>
      </c>
      <c r="S272" s="14">
        <v>2</v>
      </c>
      <c r="T272" s="14">
        <v>0</v>
      </c>
      <c r="U272" s="14" t="s">
        <v>42</v>
      </c>
      <c r="V272" s="14" t="s">
        <v>43</v>
      </c>
      <c r="W272" s="14" t="s">
        <v>44</v>
      </c>
      <c r="X272" s="14">
        <v>1</v>
      </c>
      <c r="Y272" s="14" t="s">
        <v>147</v>
      </c>
      <c r="Z272" s="17">
        <v>1.1597222222222223</v>
      </c>
      <c r="AA272" s="14">
        <v>1</v>
      </c>
      <c r="AB272" s="14">
        <v>5</v>
      </c>
      <c r="AC272" s="14">
        <v>0</v>
      </c>
      <c r="AD272" s="17">
        <f>IFERROR(Z272/(AA272*AB272)*AC272*AA272,"")</f>
        <v>0</v>
      </c>
      <c r="AE272" s="17">
        <f>Z272+AD272</f>
        <v>1.1597222222222223</v>
      </c>
      <c r="AF272" s="17"/>
      <c r="AG272" s="14">
        <f>AB272+AC272</f>
        <v>5</v>
      </c>
      <c r="AH272" s="18" t="s">
        <v>415</v>
      </c>
      <c r="AI272" s="19"/>
      <c r="AJ272" s="19"/>
      <c r="AK272" s="19"/>
      <c r="AL272" s="19"/>
      <c r="AM272" s="19"/>
    </row>
    <row r="273" spans="1:39" ht="15.75" customHeight="1">
      <c r="A273" s="2"/>
      <c r="B273" s="20" t="s">
        <v>565</v>
      </c>
      <c r="C273" s="14" t="s">
        <v>158</v>
      </c>
      <c r="D273" s="14">
        <v>25</v>
      </c>
      <c r="E273" s="14" t="s">
        <v>566</v>
      </c>
      <c r="F273" s="14">
        <v>12</v>
      </c>
      <c r="G273" s="15">
        <v>4.8</v>
      </c>
      <c r="H273" s="14" t="s">
        <v>58</v>
      </c>
      <c r="I273" s="14" t="s">
        <v>37</v>
      </c>
      <c r="J273" s="14" t="s">
        <v>38</v>
      </c>
      <c r="K273" s="14" t="s">
        <v>40</v>
      </c>
      <c r="L273" s="14" t="s">
        <v>39</v>
      </c>
      <c r="M273" s="14" t="s">
        <v>40</v>
      </c>
      <c r="N273" s="14" t="s">
        <v>38</v>
      </c>
      <c r="O273" s="14" t="s">
        <v>41</v>
      </c>
      <c r="P273" s="14">
        <v>74.8</v>
      </c>
      <c r="Q273" s="14">
        <v>40.9</v>
      </c>
      <c r="R273" s="14">
        <v>48</v>
      </c>
      <c r="S273" s="14">
        <v>2</v>
      </c>
      <c r="T273" s="14">
        <v>0</v>
      </c>
      <c r="U273" s="14" t="s">
        <v>42</v>
      </c>
      <c r="V273" s="14" t="s">
        <v>43</v>
      </c>
      <c r="W273" s="14" t="s">
        <v>44</v>
      </c>
      <c r="X273" s="14">
        <v>1</v>
      </c>
      <c r="Y273" s="14" t="s">
        <v>147</v>
      </c>
      <c r="Z273" s="17">
        <v>1.1597222222222223</v>
      </c>
      <c r="AA273" s="14">
        <v>1</v>
      </c>
      <c r="AB273" s="14">
        <v>5</v>
      </c>
      <c r="AC273" s="14">
        <v>0</v>
      </c>
      <c r="AD273" s="17">
        <f>IFERROR(Z273/(AA273*AB273)*AC273*AA273,"")</f>
        <v>0</v>
      </c>
      <c r="AE273" s="17">
        <f>Z273+AD273</f>
        <v>1.1597222222222223</v>
      </c>
      <c r="AF273" s="17"/>
      <c r="AG273" s="14">
        <f>AB273+AC273</f>
        <v>5</v>
      </c>
      <c r="AH273" s="18" t="s">
        <v>415</v>
      </c>
      <c r="AI273" s="19"/>
      <c r="AJ273" s="19"/>
      <c r="AK273" s="19"/>
      <c r="AL273" s="19"/>
      <c r="AM273" s="19"/>
    </row>
    <row r="274" spans="1:39" ht="15.75" customHeight="1">
      <c r="A274" s="2"/>
      <c r="B274" s="20" t="s">
        <v>567</v>
      </c>
      <c r="C274" s="14" t="s">
        <v>158</v>
      </c>
      <c r="D274" s="14">
        <v>25</v>
      </c>
      <c r="E274" s="14">
        <v>133</v>
      </c>
      <c r="F274" s="14">
        <v>12</v>
      </c>
      <c r="G274" s="15">
        <v>4.8</v>
      </c>
      <c r="H274" s="14" t="s">
        <v>58</v>
      </c>
      <c r="I274" s="14" t="s">
        <v>37</v>
      </c>
      <c r="J274" s="14" t="s">
        <v>38</v>
      </c>
      <c r="K274" s="14" t="s">
        <v>40</v>
      </c>
      <c r="L274" s="14" t="s">
        <v>39</v>
      </c>
      <c r="M274" s="14" t="s">
        <v>40</v>
      </c>
      <c r="N274" s="14" t="s">
        <v>38</v>
      </c>
      <c r="O274" s="14" t="s">
        <v>41</v>
      </c>
      <c r="P274" s="14">
        <v>74.8</v>
      </c>
      <c r="Q274" s="14">
        <v>40.9</v>
      </c>
      <c r="R274" s="14">
        <v>48</v>
      </c>
      <c r="S274" s="14">
        <v>1</v>
      </c>
      <c r="T274" s="14">
        <v>0</v>
      </c>
      <c r="U274" s="14" t="s">
        <v>42</v>
      </c>
      <c r="V274" s="14" t="s">
        <v>43</v>
      </c>
      <c r="W274" s="14" t="s">
        <v>44</v>
      </c>
      <c r="X274" s="14">
        <v>1</v>
      </c>
      <c r="Y274" s="14" t="s">
        <v>147</v>
      </c>
      <c r="Z274" s="17">
        <v>1.1597222222222223</v>
      </c>
      <c r="AA274" s="14">
        <v>1</v>
      </c>
      <c r="AB274" s="14">
        <v>4</v>
      </c>
      <c r="AC274" s="14">
        <v>0</v>
      </c>
      <c r="AD274" s="17">
        <f>IFERROR(Z274/(AA274*AB274)*AC274*AA274,"")</f>
        <v>0</v>
      </c>
      <c r="AE274" s="17">
        <f>Z274+AD274</f>
        <v>1.1597222222222223</v>
      </c>
      <c r="AF274" s="17"/>
      <c r="AG274" s="14">
        <f>AB274+AC274</f>
        <v>4</v>
      </c>
      <c r="AH274" s="18" t="s">
        <v>415</v>
      </c>
      <c r="AI274" s="19"/>
      <c r="AJ274" s="19"/>
      <c r="AK274" s="19"/>
      <c r="AL274" s="19"/>
      <c r="AM274" s="19"/>
    </row>
    <row r="275" spans="1:39" ht="15.75" customHeight="1">
      <c r="A275" s="2"/>
      <c r="B275" s="20" t="s">
        <v>568</v>
      </c>
      <c r="C275" s="14" t="s">
        <v>97</v>
      </c>
      <c r="D275" s="14">
        <v>38</v>
      </c>
      <c r="E275" s="14">
        <v>179</v>
      </c>
      <c r="F275" s="14">
        <v>21</v>
      </c>
      <c r="G275" s="15">
        <v>8.82</v>
      </c>
      <c r="H275" s="14" t="s">
        <v>58</v>
      </c>
      <c r="I275" s="14" t="s">
        <v>37</v>
      </c>
      <c r="J275" s="14" t="s">
        <v>38</v>
      </c>
      <c r="K275" s="14" t="s">
        <v>38</v>
      </c>
      <c r="L275" s="14" t="s">
        <v>50</v>
      </c>
      <c r="M275" s="14" t="s">
        <v>38</v>
      </c>
      <c r="N275" s="14" t="s">
        <v>40</v>
      </c>
      <c r="O275" s="14" t="s">
        <v>41</v>
      </c>
      <c r="P275" s="14">
        <v>73.400000000000006</v>
      </c>
      <c r="Q275" s="14">
        <v>40.9</v>
      </c>
      <c r="R275" s="14">
        <v>47.8</v>
      </c>
      <c r="S275" s="14">
        <v>1</v>
      </c>
      <c r="T275" s="14">
        <v>14</v>
      </c>
      <c r="U275" s="14" t="s">
        <v>42</v>
      </c>
      <c r="V275" s="14" t="s">
        <v>424</v>
      </c>
      <c r="W275" s="14" t="s">
        <v>62</v>
      </c>
      <c r="X275" s="14">
        <v>2</v>
      </c>
      <c r="Y275" s="14" t="s">
        <v>147</v>
      </c>
      <c r="Z275" s="17">
        <v>3.5416666666666665</v>
      </c>
      <c r="AA275" s="14">
        <v>2</v>
      </c>
      <c r="AB275" s="14">
        <v>5</v>
      </c>
      <c r="AC275" s="14">
        <v>0</v>
      </c>
      <c r="AD275" s="17">
        <f>IFERROR(Z275/(AA275*AB275)*AC275*AA275,"")</f>
        <v>0</v>
      </c>
      <c r="AE275" s="17">
        <f>Z275+AD275</f>
        <v>3.5416666666666665</v>
      </c>
      <c r="AF275" s="17"/>
      <c r="AG275" s="14">
        <f>AB275+AC275</f>
        <v>5</v>
      </c>
      <c r="AH275" s="18"/>
      <c r="AI275" s="19"/>
      <c r="AJ275" s="19"/>
      <c r="AK275" s="19"/>
      <c r="AL275" s="19"/>
      <c r="AM275" s="19"/>
    </row>
    <row r="276" spans="1:39" ht="15.75" customHeight="1">
      <c r="A276" s="2"/>
      <c r="B276" s="20" t="s">
        <v>569</v>
      </c>
      <c r="C276" s="14" t="s">
        <v>47</v>
      </c>
      <c r="D276" s="14">
        <v>22</v>
      </c>
      <c r="E276" s="14" t="s">
        <v>500</v>
      </c>
      <c r="F276" s="14">
        <v>50</v>
      </c>
      <c r="G276" s="15">
        <v>23</v>
      </c>
      <c r="H276" s="14" t="s">
        <v>58</v>
      </c>
      <c r="I276" s="14" t="s">
        <v>37</v>
      </c>
      <c r="J276" s="14" t="s">
        <v>40</v>
      </c>
      <c r="K276" s="14" t="s">
        <v>38</v>
      </c>
      <c r="L276" s="14" t="s">
        <v>50</v>
      </c>
      <c r="M276" s="14" t="s">
        <v>38</v>
      </c>
      <c r="N276" s="14" t="s">
        <v>38</v>
      </c>
      <c r="O276" s="14" t="s">
        <v>103</v>
      </c>
      <c r="P276" s="14">
        <v>68</v>
      </c>
      <c r="Q276" s="14">
        <v>47.4</v>
      </c>
      <c r="R276" s="14">
        <v>50</v>
      </c>
      <c r="S276" s="14">
        <v>6</v>
      </c>
      <c r="T276" s="14">
        <v>26</v>
      </c>
      <c r="U276" s="14" t="s">
        <v>112</v>
      </c>
      <c r="V276" s="14" t="s">
        <v>113</v>
      </c>
      <c r="W276" s="14" t="s">
        <v>62</v>
      </c>
      <c r="X276" s="14">
        <v>1</v>
      </c>
      <c r="Y276" s="14" t="s">
        <v>222</v>
      </c>
      <c r="Z276" s="17">
        <v>7.729166666666667</v>
      </c>
      <c r="AA276" s="14">
        <v>6</v>
      </c>
      <c r="AB276" s="14">
        <v>5</v>
      </c>
      <c r="AC276" s="14">
        <v>0</v>
      </c>
      <c r="AD276" s="17">
        <f>IFERROR(Z276/(AA276*AB276)*AC276*AA276,"")</f>
        <v>0</v>
      </c>
      <c r="AE276" s="17">
        <f>Z276+AD276</f>
        <v>7.729166666666667</v>
      </c>
      <c r="AF276" s="17"/>
      <c r="AG276" s="14">
        <f>AB276+AC276</f>
        <v>5</v>
      </c>
      <c r="AH276" s="18" t="s">
        <v>570</v>
      </c>
      <c r="AI276" s="19"/>
      <c r="AJ276" s="19"/>
      <c r="AK276" s="19"/>
      <c r="AL276" s="19"/>
      <c r="AM276" s="19"/>
    </row>
    <row r="277" spans="1:39" ht="15.75" customHeight="1">
      <c r="A277" s="2"/>
      <c r="B277" s="20" t="s">
        <v>571</v>
      </c>
      <c r="C277" s="14" t="s">
        <v>168</v>
      </c>
      <c r="D277" s="14">
        <v>15</v>
      </c>
      <c r="E277" s="14">
        <v>180</v>
      </c>
      <c r="F277" s="14">
        <v>16</v>
      </c>
      <c r="G277" s="15">
        <v>7.36</v>
      </c>
      <c r="H277" s="14" t="s">
        <v>58</v>
      </c>
      <c r="I277" s="14" t="s">
        <v>37</v>
      </c>
      <c r="J277" s="14" t="s">
        <v>38</v>
      </c>
      <c r="K277" s="14" t="s">
        <v>38</v>
      </c>
      <c r="L277" s="14" t="s">
        <v>39</v>
      </c>
      <c r="M277" s="14" t="s">
        <v>40</v>
      </c>
      <c r="N277" s="14" t="s">
        <v>40</v>
      </c>
      <c r="O277" s="14" t="s">
        <v>75</v>
      </c>
      <c r="P277" s="14">
        <v>68</v>
      </c>
      <c r="Q277" s="14">
        <v>47.4</v>
      </c>
      <c r="R277" s="14">
        <v>50</v>
      </c>
      <c r="S277" s="14">
        <v>1</v>
      </c>
      <c r="T277" s="14">
        <v>0</v>
      </c>
      <c r="U277" s="14" t="s">
        <v>42</v>
      </c>
      <c r="V277" s="14" t="s">
        <v>43</v>
      </c>
      <c r="W277" s="14" t="s">
        <v>44</v>
      </c>
      <c r="X277" s="14">
        <v>1</v>
      </c>
      <c r="Y277" s="14" t="s">
        <v>222</v>
      </c>
      <c r="Z277" s="17">
        <v>2.40625</v>
      </c>
      <c r="AA277" s="14">
        <v>2</v>
      </c>
      <c r="AB277" s="14">
        <v>5</v>
      </c>
      <c r="AC277" s="14">
        <v>0</v>
      </c>
      <c r="AD277" s="17">
        <f>IFERROR(Z277/(AA277*AB277)*AC277*AA277,"")</f>
        <v>0</v>
      </c>
      <c r="AE277" s="17">
        <f>Z277+AD277</f>
        <v>2.40625</v>
      </c>
      <c r="AF277" s="17"/>
      <c r="AG277" s="14">
        <f>AB277+AC277</f>
        <v>5</v>
      </c>
      <c r="AH277" s="18"/>
      <c r="AI277" s="19"/>
      <c r="AJ277" s="19"/>
      <c r="AK277" s="19"/>
      <c r="AL277" s="19"/>
      <c r="AM277" s="19"/>
    </row>
    <row r="278" spans="1:39" ht="15.75" customHeight="1">
      <c r="A278" s="2"/>
      <c r="B278" s="20" t="s">
        <v>572</v>
      </c>
      <c r="C278" s="14" t="s">
        <v>158</v>
      </c>
      <c r="D278" s="14">
        <v>30.3</v>
      </c>
      <c r="E278" s="14">
        <v>158</v>
      </c>
      <c r="F278" s="14">
        <v>14</v>
      </c>
      <c r="G278" s="15">
        <v>5.6</v>
      </c>
      <c r="H278" s="14" t="s">
        <v>58</v>
      </c>
      <c r="I278" s="14" t="s">
        <v>37</v>
      </c>
      <c r="J278" s="14" t="s">
        <v>38</v>
      </c>
      <c r="K278" s="14" t="s">
        <v>38</v>
      </c>
      <c r="L278" s="14" t="s">
        <v>39</v>
      </c>
      <c r="M278" s="14" t="s">
        <v>40</v>
      </c>
      <c r="N278" s="14" t="s">
        <v>40</v>
      </c>
      <c r="O278" s="14" t="s">
        <v>41</v>
      </c>
      <c r="P278" s="14">
        <v>74.8</v>
      </c>
      <c r="Q278" s="14">
        <v>40.9</v>
      </c>
      <c r="R278" s="14">
        <v>48</v>
      </c>
      <c r="S278" s="14">
        <v>2</v>
      </c>
      <c r="T278" s="14">
        <v>0</v>
      </c>
      <c r="U278" s="14" t="s">
        <v>42</v>
      </c>
      <c r="V278" s="14" t="s">
        <v>43</v>
      </c>
      <c r="W278" s="14" t="s">
        <v>44</v>
      </c>
      <c r="X278" s="14">
        <v>2</v>
      </c>
      <c r="Y278" s="14" t="s">
        <v>222</v>
      </c>
      <c r="Z278" s="17">
        <v>1.7916666666666667</v>
      </c>
      <c r="AA278" s="14">
        <v>1</v>
      </c>
      <c r="AB278" s="14">
        <v>5</v>
      </c>
      <c r="AC278" s="14">
        <v>0</v>
      </c>
      <c r="AD278" s="17">
        <f>IFERROR(Z278/(AA278*AB278)*AC278*AA278,"")</f>
        <v>0</v>
      </c>
      <c r="AE278" s="17">
        <f>Z278+AD278</f>
        <v>1.7916666666666667</v>
      </c>
      <c r="AF278" s="17"/>
      <c r="AG278" s="14">
        <f>AB278+AC278</f>
        <v>5</v>
      </c>
      <c r="AH278" s="18"/>
      <c r="AI278" s="19"/>
      <c r="AJ278" s="19"/>
      <c r="AK278" s="19"/>
      <c r="AL278" s="19"/>
      <c r="AM278" s="19"/>
    </row>
    <row r="279" spans="1:39" ht="15.75" customHeight="1">
      <c r="A279" s="2"/>
      <c r="B279" s="20" t="s">
        <v>573</v>
      </c>
      <c r="C279" s="14" t="s">
        <v>91</v>
      </c>
      <c r="D279" s="14">
        <v>39</v>
      </c>
      <c r="E279" s="14" t="s">
        <v>574</v>
      </c>
      <c r="F279" s="14">
        <v>26</v>
      </c>
      <c r="G279" s="15">
        <v>11.7</v>
      </c>
      <c r="H279" s="14" t="s">
        <v>58</v>
      </c>
      <c r="I279" s="14" t="s">
        <v>37</v>
      </c>
      <c r="J279" s="14" t="s">
        <v>38</v>
      </c>
      <c r="K279" s="14" t="s">
        <v>38</v>
      </c>
      <c r="L279" s="14" t="s">
        <v>39</v>
      </c>
      <c r="M279" s="14" t="s">
        <v>40</v>
      </c>
      <c r="N279" s="14" t="s">
        <v>40</v>
      </c>
      <c r="O279" s="14" t="s">
        <v>290</v>
      </c>
      <c r="P279" s="14">
        <v>68</v>
      </c>
      <c r="Q279" s="14">
        <v>47.4</v>
      </c>
      <c r="R279" s="14">
        <v>50</v>
      </c>
      <c r="S279" s="14">
        <v>4</v>
      </c>
      <c r="T279" s="14">
        <v>0</v>
      </c>
      <c r="U279" s="14" t="s">
        <v>42</v>
      </c>
      <c r="V279" s="14" t="s">
        <v>43</v>
      </c>
      <c r="W279" s="14" t="s">
        <v>44</v>
      </c>
      <c r="X279" s="14">
        <v>3</v>
      </c>
      <c r="Y279" s="14" t="s">
        <v>222</v>
      </c>
      <c r="Z279" s="17">
        <v>4.083333333333333</v>
      </c>
      <c r="AA279" s="14">
        <v>2</v>
      </c>
      <c r="AB279" s="14">
        <v>5</v>
      </c>
      <c r="AC279" s="14">
        <v>0</v>
      </c>
      <c r="AD279" s="17">
        <f>IFERROR(Z279/(AA279*AB279)*AC279*AA279,"")</f>
        <v>0</v>
      </c>
      <c r="AE279" s="17">
        <f>Z279+AD279</f>
        <v>4.083333333333333</v>
      </c>
      <c r="AF279" s="17"/>
      <c r="AG279" s="14">
        <f>AB279+AC279</f>
        <v>5</v>
      </c>
      <c r="AH279" s="18"/>
      <c r="AI279" s="19"/>
      <c r="AJ279" s="19"/>
      <c r="AK279" s="19"/>
      <c r="AL279" s="19"/>
      <c r="AM279" s="19"/>
    </row>
    <row r="280" spans="1:39" ht="15.75" customHeight="1">
      <c r="A280" s="2"/>
      <c r="B280" s="20" t="s">
        <v>575</v>
      </c>
      <c r="C280" s="14" t="s">
        <v>116</v>
      </c>
      <c r="D280" s="16"/>
      <c r="E280" s="16"/>
      <c r="F280" s="14">
        <v>8</v>
      </c>
      <c r="G280" s="15">
        <v>3.68</v>
      </c>
      <c r="H280" s="14" t="s">
        <v>58</v>
      </c>
      <c r="I280" s="14" t="s">
        <v>37</v>
      </c>
      <c r="J280" s="14" t="s">
        <v>38</v>
      </c>
      <c r="K280" s="14" t="s">
        <v>40</v>
      </c>
      <c r="L280" s="14" t="s">
        <v>50</v>
      </c>
      <c r="M280" s="14" t="s">
        <v>40</v>
      </c>
      <c r="N280" s="14" t="s">
        <v>38</v>
      </c>
      <c r="O280" s="14" t="s">
        <v>135</v>
      </c>
      <c r="P280" s="14">
        <v>68</v>
      </c>
      <c r="Q280" s="14">
        <v>47.4</v>
      </c>
      <c r="R280" s="14">
        <v>50</v>
      </c>
      <c r="S280" s="14">
        <v>2</v>
      </c>
      <c r="T280" s="14">
        <v>0</v>
      </c>
      <c r="U280" s="14" t="s">
        <v>42</v>
      </c>
      <c r="V280" s="14" t="s">
        <v>43</v>
      </c>
      <c r="W280" s="14" t="s">
        <v>44</v>
      </c>
      <c r="X280" s="14">
        <v>1</v>
      </c>
      <c r="Y280" s="14" t="s">
        <v>222</v>
      </c>
      <c r="Z280" s="17">
        <v>1.5729166666666667</v>
      </c>
      <c r="AA280" s="14">
        <v>1</v>
      </c>
      <c r="AB280" s="14">
        <v>5</v>
      </c>
      <c r="AC280" s="14">
        <v>0</v>
      </c>
      <c r="AD280" s="17">
        <f>IFERROR(Z280/(AA280*AB280)*AC280*AA280,"")</f>
        <v>0</v>
      </c>
      <c r="AE280" s="17">
        <f>Z280+AD280</f>
        <v>1.5729166666666667</v>
      </c>
      <c r="AF280" s="17"/>
      <c r="AG280" s="14">
        <f>AB280+AC280</f>
        <v>5</v>
      </c>
      <c r="AH280" s="18"/>
      <c r="AI280" s="19"/>
      <c r="AJ280" s="19"/>
      <c r="AK280" s="19"/>
      <c r="AL280" s="19"/>
      <c r="AM280" s="19"/>
    </row>
    <row r="281" spans="1:39" ht="15.75" customHeight="1">
      <c r="A281" s="2"/>
      <c r="B281" s="28"/>
      <c r="C281" s="29"/>
      <c r="D281" s="29"/>
      <c r="E281" s="29"/>
      <c r="F281" s="29"/>
      <c r="G281" s="30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31"/>
      <c r="AE281" s="29"/>
      <c r="AF281" s="29"/>
      <c r="AG281" s="29"/>
      <c r="AH281" s="32"/>
      <c r="AI281" s="19"/>
      <c r="AJ281" s="19"/>
      <c r="AK281" s="19"/>
      <c r="AL281" s="19"/>
      <c r="AM281" s="19"/>
    </row>
    <row r="282" spans="1:39" ht="15.75" customHeight="1">
      <c r="A282" s="2"/>
      <c r="B282" s="3"/>
      <c r="C282" s="19"/>
      <c r="D282" s="19"/>
      <c r="E282" s="19"/>
      <c r="F282" s="19"/>
      <c r="G282" s="33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34"/>
      <c r="AE282" s="19"/>
      <c r="AF282" s="19"/>
      <c r="AG282" s="19"/>
      <c r="AH282" s="19"/>
      <c r="AI282" s="19"/>
      <c r="AJ282" s="19"/>
      <c r="AK282" s="19"/>
      <c r="AL282" s="19"/>
      <c r="AM282" s="19"/>
    </row>
    <row r="283" spans="1:39" ht="15.75" customHeight="1">
      <c r="A283" s="2"/>
      <c r="B283" s="3"/>
      <c r="C283" s="19"/>
      <c r="D283" s="19"/>
      <c r="E283" s="19"/>
      <c r="F283" s="19"/>
      <c r="G283" s="33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34"/>
      <c r="AE283" s="19"/>
      <c r="AF283" s="19"/>
      <c r="AG283" s="19"/>
      <c r="AH283" s="19"/>
      <c r="AI283" s="19"/>
      <c r="AJ283" s="19"/>
      <c r="AK283" s="19"/>
      <c r="AL283" s="19"/>
      <c r="AM283" s="19"/>
    </row>
  </sheetData>
  <mergeCells count="4">
    <mergeCell ref="D2:E2"/>
    <mergeCell ref="F2:H2"/>
    <mergeCell ref="I2:O2"/>
    <mergeCell ref="P2:AB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AF223"/>
  <sheetViews>
    <sheetView workbookViewId="0">
      <pane xSplit="2" ySplit="3" topLeftCell="C4" activePane="bottomRight" state="frozen"/>
      <selection pane="bottomRight" activeCell="C4" sqref="C4"/>
      <selection pane="bottomLeft" activeCell="A4" sqref="A4"/>
      <selection pane="topRight" activeCell="C1" sqref="C1"/>
    </sheetView>
  </sheetViews>
  <sheetFormatPr defaultColWidth="12.5703125" defaultRowHeight="15.75" customHeight="1"/>
  <cols>
    <col min="1" max="1" width="2.7109375" customWidth="1"/>
    <col min="2" max="2" width="28.42578125" customWidth="1"/>
    <col min="3" max="9" width="9.42578125" customWidth="1"/>
    <col min="10" max="10" width="25.28515625" customWidth="1"/>
    <col min="11" max="11" width="28.5703125" customWidth="1"/>
    <col min="12" max="12" width="5.42578125" customWidth="1"/>
    <col min="25" max="25" width="15" customWidth="1"/>
  </cols>
  <sheetData>
    <row r="2" spans="2:32" ht="15.75" customHeight="1">
      <c r="B2" s="187"/>
      <c r="C2" s="194" t="s">
        <v>576</v>
      </c>
      <c r="D2" s="195"/>
      <c r="E2" s="195"/>
      <c r="F2" s="195"/>
      <c r="G2" s="195"/>
      <c r="H2" s="195"/>
      <c r="I2" s="18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</row>
    <row r="3" spans="2:32">
      <c r="B3" s="35" t="s">
        <v>577</v>
      </c>
      <c r="C3" s="35">
        <v>2019</v>
      </c>
      <c r="D3" s="35">
        <v>2020</v>
      </c>
      <c r="E3" s="35">
        <v>2021</v>
      </c>
      <c r="F3" s="35">
        <v>2022</v>
      </c>
      <c r="G3" s="35">
        <v>2023</v>
      </c>
      <c r="H3" s="35">
        <v>2024</v>
      </c>
      <c r="I3" s="35">
        <v>2025</v>
      </c>
      <c r="J3" s="188" t="s">
        <v>578</v>
      </c>
      <c r="K3" s="188" t="s">
        <v>579</v>
      </c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</row>
    <row r="4" spans="2:32">
      <c r="B4" s="36" t="s">
        <v>580</v>
      </c>
      <c r="C4" s="1">
        <v>55</v>
      </c>
      <c r="D4" s="1">
        <v>62</v>
      </c>
      <c r="E4" s="1">
        <v>81</v>
      </c>
      <c r="F4" s="1">
        <v>86</v>
      </c>
      <c r="G4" s="1">
        <v>84</v>
      </c>
      <c r="H4" s="1">
        <v>119</v>
      </c>
      <c r="I4" s="1" t="e">
        <v>#REF!</v>
      </c>
      <c r="J4" s="3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</row>
    <row r="5" spans="2:32">
      <c r="B5" s="36" t="s">
        <v>581</v>
      </c>
      <c r="C5" s="1">
        <v>480</v>
      </c>
      <c r="D5" s="1">
        <v>650</v>
      </c>
      <c r="E5" s="1">
        <v>670</v>
      </c>
      <c r="F5" s="1">
        <v>828</v>
      </c>
      <c r="G5" s="38">
        <v>947</v>
      </c>
      <c r="H5" s="38">
        <v>1249</v>
      </c>
      <c r="I5" s="38" t="e">
        <v>#REF!</v>
      </c>
      <c r="J5" s="38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</row>
    <row r="6" spans="2:32">
      <c r="B6" s="36" t="s">
        <v>582</v>
      </c>
      <c r="C6" s="39">
        <v>1400000</v>
      </c>
      <c r="D6" s="39">
        <v>1675000</v>
      </c>
      <c r="E6" s="39">
        <v>1810000</v>
      </c>
      <c r="F6" s="39">
        <v>2339533</v>
      </c>
      <c r="G6" s="39">
        <v>2668936</v>
      </c>
      <c r="H6" s="39">
        <v>3266869</v>
      </c>
      <c r="I6" s="1" t="e">
        <v>#REF!</v>
      </c>
      <c r="J6" s="39"/>
      <c r="K6" s="39"/>
      <c r="L6" s="177"/>
      <c r="M6" s="177"/>
      <c r="N6" s="177"/>
      <c r="O6" s="40"/>
      <c r="P6" s="40"/>
      <c r="Q6" s="40"/>
      <c r="R6" s="40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</row>
    <row r="7" spans="2:32">
      <c r="B7" s="41" t="s">
        <v>583</v>
      </c>
      <c r="C7" s="39" t="s">
        <v>584</v>
      </c>
      <c r="D7" s="39" t="s">
        <v>584</v>
      </c>
      <c r="E7" s="39" t="s">
        <v>584</v>
      </c>
      <c r="F7" s="39" t="s">
        <v>584</v>
      </c>
      <c r="G7" s="39">
        <v>1681254</v>
      </c>
      <c r="H7" s="39">
        <v>2062602</v>
      </c>
      <c r="I7" s="39" t="e">
        <v>#REF!</v>
      </c>
      <c r="J7" s="39"/>
      <c r="K7" s="39"/>
      <c r="L7" s="1"/>
      <c r="M7" s="177"/>
      <c r="N7" s="177"/>
      <c r="O7" s="1"/>
      <c r="P7" s="177"/>
      <c r="Q7" s="42"/>
      <c r="R7" s="39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</row>
    <row r="8" spans="2:32">
      <c r="B8" s="41" t="s">
        <v>585</v>
      </c>
      <c r="C8" s="39" t="s">
        <v>584</v>
      </c>
      <c r="D8" s="39" t="s">
        <v>584</v>
      </c>
      <c r="E8" s="39" t="s">
        <v>584</v>
      </c>
      <c r="F8" s="39" t="s">
        <v>584</v>
      </c>
      <c r="G8" s="39">
        <v>984551</v>
      </c>
      <c r="H8" s="39">
        <v>1221323</v>
      </c>
      <c r="I8" s="39" t="e">
        <v>#REF!</v>
      </c>
      <c r="J8" s="39"/>
      <c r="K8" s="177"/>
      <c r="L8" s="177"/>
      <c r="M8" s="177"/>
      <c r="N8" s="177"/>
      <c r="O8" s="1"/>
      <c r="P8" s="1"/>
      <c r="Q8" s="42"/>
      <c r="R8" s="39"/>
      <c r="S8" s="177"/>
      <c r="T8" s="177"/>
      <c r="U8" s="177"/>
      <c r="V8" s="177"/>
      <c r="W8" s="177"/>
      <c r="X8" s="177"/>
      <c r="Y8" s="177"/>
      <c r="Z8" s="177"/>
      <c r="AA8" s="43"/>
      <c r="AB8" s="43"/>
      <c r="AC8" s="43"/>
      <c r="AD8" s="43"/>
      <c r="AE8" s="177"/>
      <c r="AF8" s="43"/>
    </row>
    <row r="9" spans="2:32">
      <c r="B9" s="41" t="s">
        <v>586</v>
      </c>
      <c r="C9" s="39"/>
      <c r="D9" s="39"/>
      <c r="E9" s="39"/>
      <c r="F9" s="39"/>
      <c r="G9" s="39">
        <v>185660</v>
      </c>
      <c r="H9" s="39">
        <v>267683</v>
      </c>
      <c r="I9" s="39" t="e">
        <v>#REF!</v>
      </c>
      <c r="J9" s="39"/>
      <c r="K9" s="39"/>
      <c r="L9" s="177"/>
      <c r="M9" s="177"/>
      <c r="N9" s="177"/>
      <c r="O9" s="1"/>
      <c r="P9" s="177"/>
      <c r="Q9" s="42"/>
      <c r="R9" s="39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</row>
    <row r="10" spans="2:32">
      <c r="B10" s="41" t="s">
        <v>587</v>
      </c>
      <c r="C10" s="39" t="s">
        <v>584</v>
      </c>
      <c r="D10" s="39" t="s">
        <v>584</v>
      </c>
      <c r="E10" s="39" t="s">
        <v>584</v>
      </c>
      <c r="F10" s="39" t="s">
        <v>584</v>
      </c>
      <c r="G10" s="39">
        <v>154200</v>
      </c>
      <c r="H10" s="39">
        <v>204936</v>
      </c>
      <c r="I10" s="39" t="e">
        <v>#REF!</v>
      </c>
      <c r="J10" s="38"/>
      <c r="K10" s="39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</row>
    <row r="11" spans="2:32">
      <c r="B11" s="41" t="s">
        <v>588</v>
      </c>
      <c r="C11" s="39" t="s">
        <v>584</v>
      </c>
      <c r="D11" s="39" t="s">
        <v>584</v>
      </c>
      <c r="E11" s="39" t="s">
        <v>584</v>
      </c>
      <c r="F11" s="39" t="s">
        <v>584</v>
      </c>
      <c r="G11" s="39">
        <v>113558</v>
      </c>
      <c r="H11" s="39">
        <v>85130</v>
      </c>
      <c r="I11" s="39" t="e">
        <v>#REF!</v>
      </c>
      <c r="J11" s="38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39"/>
      <c r="AD11" s="177"/>
      <c r="AE11" s="177"/>
      <c r="AF11" s="177"/>
    </row>
    <row r="12" spans="2:32">
      <c r="B12" s="41" t="s">
        <v>589</v>
      </c>
      <c r="C12" s="39" t="s">
        <v>584</v>
      </c>
      <c r="D12" s="39" t="s">
        <v>584</v>
      </c>
      <c r="E12" s="39">
        <v>22353</v>
      </c>
      <c r="F12" s="39">
        <v>27203</v>
      </c>
      <c r="G12" s="39">
        <v>31773</v>
      </c>
      <c r="H12" s="39">
        <v>27685</v>
      </c>
      <c r="I12" s="39" t="s">
        <v>590</v>
      </c>
      <c r="J12" s="38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39"/>
      <c r="AD12" s="177"/>
      <c r="AE12" s="177"/>
      <c r="AF12" s="177"/>
    </row>
    <row r="13" spans="2:32">
      <c r="B13" s="41" t="s">
        <v>591</v>
      </c>
      <c r="C13" s="39"/>
      <c r="D13" s="39" t="s">
        <v>584</v>
      </c>
      <c r="E13" s="39">
        <v>19206</v>
      </c>
      <c r="F13" s="39">
        <v>24305</v>
      </c>
      <c r="G13" s="39">
        <v>26342</v>
      </c>
      <c r="H13" s="39">
        <v>21978</v>
      </c>
      <c r="I13" s="39" t="s">
        <v>592</v>
      </c>
      <c r="J13" s="38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39"/>
      <c r="AD13" s="177"/>
      <c r="AE13" s="177"/>
      <c r="AF13" s="177"/>
    </row>
    <row r="14" spans="2:32">
      <c r="B14" s="41" t="s">
        <v>593</v>
      </c>
      <c r="C14" s="1" t="s">
        <v>584</v>
      </c>
      <c r="D14" s="1" t="s">
        <v>584</v>
      </c>
      <c r="E14" s="1">
        <v>8.3000000000000007</v>
      </c>
      <c r="F14" s="1">
        <v>8.76</v>
      </c>
      <c r="G14" s="44">
        <v>11.28</v>
      </c>
      <c r="H14" s="44">
        <v>10.5</v>
      </c>
      <c r="I14" s="44" t="e">
        <f>I5/I4</f>
        <v>#REF!</v>
      </c>
      <c r="J14" s="38"/>
      <c r="K14" s="177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5"/>
      <c r="X14" s="45"/>
      <c r="Y14" s="43"/>
      <c r="Z14" s="177"/>
      <c r="AA14" s="177"/>
      <c r="AB14" s="177"/>
      <c r="AC14" s="177"/>
      <c r="AD14" s="177"/>
      <c r="AE14" s="177"/>
      <c r="AF14" s="177"/>
    </row>
    <row r="15" spans="2:32">
      <c r="B15" s="41" t="s">
        <v>594</v>
      </c>
      <c r="C15" s="1" t="s">
        <v>584</v>
      </c>
      <c r="D15" s="1" t="s">
        <v>584</v>
      </c>
      <c r="E15" s="1">
        <v>6.6</v>
      </c>
      <c r="F15" s="1">
        <v>7.79</v>
      </c>
      <c r="G15" s="44">
        <v>8.3000000000000007</v>
      </c>
      <c r="H15" s="1">
        <v>7.82</v>
      </c>
      <c r="I15" s="44" t="s">
        <v>592</v>
      </c>
      <c r="J15" s="38"/>
      <c r="K15" s="177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5"/>
      <c r="X15" s="45"/>
      <c r="Y15" s="43"/>
      <c r="Z15" s="177"/>
      <c r="AA15" s="177"/>
      <c r="AB15" s="177"/>
      <c r="AC15" s="177"/>
      <c r="AD15" s="177"/>
      <c r="AE15" s="177"/>
      <c r="AF15" s="177"/>
    </row>
    <row r="16" spans="2:32">
      <c r="B16" s="36" t="s">
        <v>595</v>
      </c>
      <c r="C16" s="45">
        <v>2.93</v>
      </c>
      <c r="D16" s="45">
        <v>2.61</v>
      </c>
      <c r="E16" s="45">
        <v>2.7</v>
      </c>
      <c r="F16" s="45">
        <v>2.83</v>
      </c>
      <c r="G16" s="45">
        <v>2.82</v>
      </c>
      <c r="H16" s="45">
        <v>2.62</v>
      </c>
      <c r="I16" s="45" t="e">
        <f>I6/(I5*1000)</f>
        <v>#REF!</v>
      </c>
      <c r="J16" s="38"/>
      <c r="K16" s="177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5"/>
      <c r="X16" s="45"/>
      <c r="Y16" s="43"/>
      <c r="Z16" s="177"/>
      <c r="AA16" s="177"/>
      <c r="AB16" s="177"/>
      <c r="AC16" s="177"/>
      <c r="AD16" s="177"/>
      <c r="AE16" s="177"/>
      <c r="AF16" s="177"/>
    </row>
    <row r="17" spans="2:30">
      <c r="B17" s="36" t="s">
        <v>596</v>
      </c>
      <c r="C17" s="45" t="s">
        <v>584</v>
      </c>
      <c r="D17" s="45" t="s">
        <v>584</v>
      </c>
      <c r="E17" s="45">
        <v>2.84</v>
      </c>
      <c r="F17" s="45">
        <v>2.98</v>
      </c>
      <c r="G17" s="45">
        <v>3.01</v>
      </c>
      <c r="H17" s="45">
        <v>2.83</v>
      </c>
      <c r="I17" s="45" t="s">
        <v>592</v>
      </c>
      <c r="J17" s="38"/>
      <c r="K17" s="177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5"/>
      <c r="X17" s="45"/>
      <c r="Y17" s="43"/>
      <c r="Z17" s="177"/>
      <c r="AA17" s="177"/>
      <c r="AB17" s="177"/>
      <c r="AC17" s="177"/>
      <c r="AD17" s="177"/>
    </row>
    <row r="18" spans="2:30">
      <c r="B18" s="36" t="s">
        <v>597</v>
      </c>
      <c r="C18" s="1">
        <v>5</v>
      </c>
      <c r="D18" s="1">
        <v>8</v>
      </c>
      <c r="E18" s="1">
        <v>9</v>
      </c>
      <c r="F18" s="1">
        <v>10</v>
      </c>
      <c r="G18" s="1">
        <v>12</v>
      </c>
      <c r="H18" s="1">
        <v>14</v>
      </c>
      <c r="I18" s="1">
        <v>15</v>
      </c>
      <c r="J18" s="38"/>
      <c r="K18" s="177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5"/>
      <c r="X18" s="45"/>
      <c r="Y18" s="43"/>
      <c r="Z18" s="177"/>
      <c r="AA18" s="177"/>
      <c r="AB18" s="177"/>
      <c r="AC18" s="177"/>
      <c r="AD18" s="177"/>
    </row>
    <row r="19" spans="2:30"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5"/>
      <c r="X19" s="45"/>
      <c r="Y19" s="43"/>
      <c r="Z19" s="177"/>
      <c r="AA19" s="177"/>
      <c r="AB19" s="177"/>
      <c r="AC19" s="177"/>
      <c r="AD19" s="177"/>
    </row>
    <row r="20" spans="2:30">
      <c r="B20" s="1" t="s">
        <v>598</v>
      </c>
      <c r="C20" s="177"/>
      <c r="D20" s="177"/>
      <c r="E20" s="177"/>
      <c r="F20" s="177"/>
      <c r="G20" s="177"/>
      <c r="H20" s="177"/>
      <c r="I20" s="177"/>
      <c r="J20" s="177"/>
      <c r="K20" s="177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5"/>
      <c r="X20" s="45"/>
      <c r="Y20" s="43"/>
      <c r="Z20" s="177"/>
      <c r="AA20" s="177"/>
      <c r="AB20" s="177"/>
      <c r="AC20" s="177"/>
      <c r="AD20" s="177"/>
    </row>
    <row r="21" spans="2:30">
      <c r="B21" s="36" t="s">
        <v>599</v>
      </c>
      <c r="C21" s="1" t="s">
        <v>584</v>
      </c>
      <c r="D21" s="1" t="s">
        <v>584</v>
      </c>
      <c r="E21" s="1">
        <v>40</v>
      </c>
      <c r="F21" s="1">
        <v>28</v>
      </c>
      <c r="G21" s="1">
        <v>24</v>
      </c>
      <c r="H21" s="1">
        <v>46</v>
      </c>
      <c r="I21" s="1" t="s">
        <v>592</v>
      </c>
      <c r="J21" s="38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45"/>
      <c r="X21" s="45"/>
      <c r="Y21" s="43"/>
      <c r="Z21" s="177"/>
      <c r="AA21" s="177"/>
      <c r="AB21" s="177"/>
      <c r="AC21" s="177"/>
      <c r="AD21" s="177"/>
    </row>
    <row r="22" spans="2:30">
      <c r="B22" s="36" t="s">
        <v>600</v>
      </c>
      <c r="C22" s="1" t="s">
        <v>584</v>
      </c>
      <c r="D22" s="1" t="s">
        <v>584</v>
      </c>
      <c r="E22" s="1">
        <v>23</v>
      </c>
      <c r="F22" s="1">
        <v>50</v>
      </c>
      <c r="G22" s="1">
        <v>46</v>
      </c>
      <c r="H22" s="1">
        <v>55</v>
      </c>
      <c r="I22" s="1" t="s">
        <v>592</v>
      </c>
      <c r="J22" s="38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</row>
    <row r="23" spans="2:30">
      <c r="B23" s="36" t="s">
        <v>601</v>
      </c>
      <c r="C23" s="1" t="s">
        <v>584</v>
      </c>
      <c r="D23" s="1" t="s">
        <v>584</v>
      </c>
      <c r="E23" s="1">
        <v>6</v>
      </c>
      <c r="F23" s="1">
        <v>1</v>
      </c>
      <c r="G23" s="1">
        <v>2</v>
      </c>
      <c r="H23" s="1">
        <v>2</v>
      </c>
      <c r="I23" s="1" t="s">
        <v>592</v>
      </c>
      <c r="J23" s="38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46"/>
      <c r="AD23" s="45"/>
    </row>
    <row r="24" spans="2:30">
      <c r="B24" s="36" t="s">
        <v>602</v>
      </c>
      <c r="C24" s="1" t="s">
        <v>584</v>
      </c>
      <c r="D24" s="1" t="s">
        <v>584</v>
      </c>
      <c r="E24" s="1">
        <v>10</v>
      </c>
      <c r="F24" s="1">
        <v>7</v>
      </c>
      <c r="G24" s="1">
        <v>12</v>
      </c>
      <c r="H24" s="1">
        <v>10</v>
      </c>
      <c r="I24" s="1" t="e">
        <v>#REF!</v>
      </c>
      <c r="J24" s="38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</row>
    <row r="25" spans="2:30">
      <c r="B25" s="177"/>
      <c r="C25" s="177"/>
      <c r="D25" s="177"/>
      <c r="E25" s="177"/>
      <c r="F25" s="177"/>
      <c r="G25" s="177"/>
      <c r="H25" s="4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</row>
    <row r="26" spans="2:30">
      <c r="B26" s="1" t="s">
        <v>603</v>
      </c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</row>
    <row r="27" spans="2:30">
      <c r="B27" s="36" t="s">
        <v>599</v>
      </c>
      <c r="C27" s="1" t="s">
        <v>584</v>
      </c>
      <c r="D27" s="1" t="s">
        <v>584</v>
      </c>
      <c r="E27" s="47">
        <f t="shared" ref="E27:F27" si="0">E21/E$4</f>
        <v>0.49382716049382713</v>
      </c>
      <c r="F27" s="47">
        <f t="shared" si="0"/>
        <v>0.32558139534883723</v>
      </c>
      <c r="G27" s="47">
        <v>0.28599999999999998</v>
      </c>
      <c r="H27" s="48">
        <v>0.36499999999999999</v>
      </c>
      <c r="I27" s="47" t="e">
        <f t="shared" ref="I27:I30" si="1">I21/$I$4</f>
        <v>#VALUE!</v>
      </c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</row>
    <row r="28" spans="2:30">
      <c r="B28" s="36" t="s">
        <v>600</v>
      </c>
      <c r="C28" s="1" t="s">
        <v>584</v>
      </c>
      <c r="D28" s="1" t="s">
        <v>584</v>
      </c>
      <c r="E28" s="47">
        <f t="shared" ref="E28:F28" si="2">E22/E$4</f>
        <v>0.2839506172839506</v>
      </c>
      <c r="F28" s="47">
        <f t="shared" si="2"/>
        <v>0.58139534883720934</v>
      </c>
      <c r="G28" s="47">
        <v>0.54800000000000004</v>
      </c>
      <c r="H28" s="48">
        <v>0.437</v>
      </c>
      <c r="I28" s="47" t="e">
        <f t="shared" si="1"/>
        <v>#VALUE!</v>
      </c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</row>
    <row r="29" spans="2:30">
      <c r="B29" s="36" t="s">
        <v>601</v>
      </c>
      <c r="C29" s="1" t="s">
        <v>584</v>
      </c>
      <c r="D29" s="1" t="s">
        <v>584</v>
      </c>
      <c r="E29" s="47">
        <f t="shared" ref="E29:F29" si="3">E23/E$4</f>
        <v>7.407407407407407E-2</v>
      </c>
      <c r="F29" s="47">
        <f t="shared" si="3"/>
        <v>1.1627906976744186E-2</v>
      </c>
      <c r="G29" s="47">
        <v>2.4E-2</v>
      </c>
      <c r="H29" s="48">
        <v>1.6E-2</v>
      </c>
      <c r="I29" s="47" t="e">
        <f t="shared" si="1"/>
        <v>#VALUE!</v>
      </c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</row>
    <row r="30" spans="2:30">
      <c r="B30" s="36" t="s">
        <v>602</v>
      </c>
      <c r="C30" s="1" t="s">
        <v>584</v>
      </c>
      <c r="D30" s="1" t="s">
        <v>584</v>
      </c>
      <c r="E30" s="47">
        <f t="shared" ref="E30:F30" si="4">E24/E$4</f>
        <v>0.12345679012345678</v>
      </c>
      <c r="F30" s="47">
        <f t="shared" si="4"/>
        <v>8.1395348837209308E-2</v>
      </c>
      <c r="G30" s="47">
        <v>0.14299999999999999</v>
      </c>
      <c r="H30" s="48">
        <v>7.9000000000000001E-2</v>
      </c>
      <c r="I30" s="47" t="e">
        <f t="shared" si="1"/>
        <v>#REF!</v>
      </c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</row>
    <row r="32" spans="2:30">
      <c r="B32" s="1" t="s">
        <v>604</v>
      </c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</row>
    <row r="33" spans="2:10">
      <c r="B33" s="36" t="s">
        <v>58</v>
      </c>
      <c r="C33" s="1" t="s">
        <v>584</v>
      </c>
      <c r="D33" s="1" t="s">
        <v>584</v>
      </c>
      <c r="E33" s="1">
        <v>37</v>
      </c>
      <c r="F33" s="1">
        <v>43</v>
      </c>
      <c r="G33" s="1">
        <v>63</v>
      </c>
      <c r="H33" s="1">
        <v>106</v>
      </c>
      <c r="I33" s="1" t="e">
        <v>#VALUE!</v>
      </c>
      <c r="J33" s="38"/>
    </row>
    <row r="34" spans="2:10">
      <c r="B34" s="36" t="s">
        <v>36</v>
      </c>
      <c r="C34" s="1" t="s">
        <v>584</v>
      </c>
      <c r="D34" s="1" t="s">
        <v>584</v>
      </c>
      <c r="E34" s="1">
        <v>41</v>
      </c>
      <c r="F34" s="1">
        <v>41</v>
      </c>
      <c r="G34" s="1">
        <v>16</v>
      </c>
      <c r="H34" s="1">
        <v>5</v>
      </c>
      <c r="I34" s="1" t="e">
        <v>#VALUE!</v>
      </c>
      <c r="J34" s="38"/>
    </row>
    <row r="35" spans="2:10">
      <c r="B35" s="36" t="s">
        <v>150</v>
      </c>
      <c r="C35" s="1" t="s">
        <v>584</v>
      </c>
      <c r="D35" s="1" t="s">
        <v>584</v>
      </c>
      <c r="E35" s="1">
        <v>2</v>
      </c>
      <c r="F35" s="1">
        <v>2</v>
      </c>
      <c r="G35" s="1">
        <v>4</v>
      </c>
      <c r="H35" s="1">
        <v>1</v>
      </c>
      <c r="I35" s="1" t="e">
        <v>#VALUE!</v>
      </c>
      <c r="J35" s="38"/>
    </row>
    <row r="36" spans="2:10">
      <c r="B36" s="36" t="s">
        <v>602</v>
      </c>
      <c r="C36" s="1" t="s">
        <v>584</v>
      </c>
      <c r="D36" s="1" t="s">
        <v>584</v>
      </c>
      <c r="E36" s="1">
        <v>1</v>
      </c>
      <c r="F36" s="1">
        <v>0</v>
      </c>
      <c r="G36" s="1">
        <v>1</v>
      </c>
      <c r="H36" s="1">
        <v>4</v>
      </c>
      <c r="I36" s="1" t="e">
        <v>#VALUE!</v>
      </c>
      <c r="J36" s="38"/>
    </row>
    <row r="37" spans="2:10">
      <c r="B37" s="177"/>
      <c r="C37" s="177"/>
      <c r="D37" s="177"/>
      <c r="E37" s="177"/>
      <c r="F37" s="177"/>
      <c r="G37" s="177"/>
      <c r="H37" s="47"/>
      <c r="I37" s="177"/>
      <c r="J37" s="177"/>
    </row>
    <row r="38" spans="2:10">
      <c r="B38" s="1" t="s">
        <v>605</v>
      </c>
      <c r="C38" s="177"/>
      <c r="D38" s="177"/>
      <c r="E38" s="177"/>
      <c r="F38" s="177"/>
      <c r="G38" s="177"/>
      <c r="H38" s="177"/>
      <c r="I38" s="177"/>
      <c r="J38" s="177"/>
    </row>
    <row r="39" spans="2:10">
      <c r="B39" s="36" t="s">
        <v>58</v>
      </c>
      <c r="C39" s="1" t="s">
        <v>584</v>
      </c>
      <c r="D39" s="1" t="s">
        <v>584</v>
      </c>
      <c r="E39" s="47">
        <f t="shared" ref="E39:F39" si="5">E33/E$4</f>
        <v>0.4567901234567901</v>
      </c>
      <c r="F39" s="47">
        <f t="shared" si="5"/>
        <v>0.5</v>
      </c>
      <c r="G39" s="47">
        <v>0.75</v>
      </c>
      <c r="H39" s="48">
        <v>0.84099999999999997</v>
      </c>
      <c r="I39" s="47" t="e">
        <f t="shared" ref="I39:I42" si="6">I33/$I$4</f>
        <v>#VALUE!</v>
      </c>
      <c r="J39" s="177"/>
    </row>
    <row r="40" spans="2:10" ht="12.75">
      <c r="B40" s="36" t="s">
        <v>36</v>
      </c>
      <c r="C40" s="1" t="s">
        <v>584</v>
      </c>
      <c r="D40" s="1" t="s">
        <v>584</v>
      </c>
      <c r="E40" s="47">
        <f t="shared" ref="E40:F40" si="7">E34/E$4</f>
        <v>0.50617283950617287</v>
      </c>
      <c r="F40" s="47">
        <f t="shared" si="7"/>
        <v>0.47674418604651164</v>
      </c>
      <c r="G40" s="47">
        <v>0.19</v>
      </c>
      <c r="H40" s="48">
        <v>0.04</v>
      </c>
      <c r="I40" s="47" t="e">
        <f t="shared" si="6"/>
        <v>#VALUE!</v>
      </c>
      <c r="J40" s="177"/>
    </row>
    <row r="41" spans="2:10" ht="12.75">
      <c r="B41" s="36" t="s">
        <v>150</v>
      </c>
      <c r="C41" s="1" t="s">
        <v>584</v>
      </c>
      <c r="D41" s="1" t="s">
        <v>584</v>
      </c>
      <c r="E41" s="47">
        <f t="shared" ref="E41:F41" si="8">E35/E$4</f>
        <v>2.4691358024691357E-2</v>
      </c>
      <c r="F41" s="47">
        <f t="shared" si="8"/>
        <v>2.3255813953488372E-2</v>
      </c>
      <c r="G41" s="47">
        <v>4.8000000000000001E-2</v>
      </c>
      <c r="H41" s="48">
        <v>8.0000000000000002E-3</v>
      </c>
      <c r="I41" s="47" t="e">
        <f t="shared" si="6"/>
        <v>#VALUE!</v>
      </c>
      <c r="J41" s="177"/>
    </row>
    <row r="42" spans="2:10" ht="12.75">
      <c r="B42" s="36" t="s">
        <v>602</v>
      </c>
      <c r="C42" s="1" t="s">
        <v>584</v>
      </c>
      <c r="D42" s="1" t="s">
        <v>584</v>
      </c>
      <c r="E42" s="47">
        <f t="shared" ref="E42:F42" si="9">E36/E$4</f>
        <v>1.2345679012345678E-2</v>
      </c>
      <c r="F42" s="47">
        <f t="shared" si="9"/>
        <v>0</v>
      </c>
      <c r="G42" s="47">
        <v>1.2E-2</v>
      </c>
      <c r="H42" s="48">
        <v>3.2000000000000001E-2</v>
      </c>
      <c r="I42" s="47" t="e">
        <f t="shared" si="6"/>
        <v>#VALUE!</v>
      </c>
      <c r="J42" s="177"/>
    </row>
    <row r="44" spans="2:10" ht="12.75">
      <c r="B44" s="1" t="s">
        <v>606</v>
      </c>
      <c r="C44" s="177"/>
      <c r="D44" s="177"/>
      <c r="E44" s="177"/>
      <c r="F44" s="177"/>
      <c r="G44" s="177"/>
      <c r="H44" s="177"/>
      <c r="I44" s="177"/>
      <c r="J44" s="177"/>
    </row>
    <row r="45" spans="2:10" ht="12.75">
      <c r="B45" s="36" t="s">
        <v>607</v>
      </c>
      <c r="C45" s="1" t="s">
        <v>584</v>
      </c>
      <c r="D45" s="1" t="s">
        <v>584</v>
      </c>
      <c r="E45" s="1">
        <v>19</v>
      </c>
      <c r="F45" s="1">
        <v>30</v>
      </c>
      <c r="G45" s="1">
        <v>51</v>
      </c>
      <c r="H45" s="1">
        <v>98</v>
      </c>
      <c r="I45" s="1" t="s">
        <v>592</v>
      </c>
      <c r="J45" s="38"/>
    </row>
    <row r="46" spans="2:10" ht="12.75">
      <c r="B46" s="36" t="s">
        <v>608</v>
      </c>
      <c r="C46" s="1" t="s">
        <v>584</v>
      </c>
      <c r="D46" s="1" t="s">
        <v>584</v>
      </c>
      <c r="E46" s="1">
        <v>32</v>
      </c>
      <c r="F46" s="1">
        <v>19</v>
      </c>
      <c r="G46" s="1">
        <v>4</v>
      </c>
      <c r="H46" s="1">
        <v>0</v>
      </c>
      <c r="I46" s="1" t="s">
        <v>592</v>
      </c>
      <c r="J46" s="38"/>
    </row>
    <row r="47" spans="2:10" ht="12.75">
      <c r="B47" s="36" t="s">
        <v>609</v>
      </c>
      <c r="C47" s="1" t="s">
        <v>584</v>
      </c>
      <c r="D47" s="1" t="s">
        <v>584</v>
      </c>
      <c r="E47" s="1">
        <v>0</v>
      </c>
      <c r="F47" s="1">
        <v>12</v>
      </c>
      <c r="G47" s="1">
        <v>0</v>
      </c>
      <c r="H47" s="1">
        <v>0</v>
      </c>
      <c r="I47" s="1" t="s">
        <v>592</v>
      </c>
      <c r="J47" s="38"/>
    </row>
    <row r="48" spans="2:10" ht="12.75">
      <c r="B48" s="36" t="s">
        <v>610</v>
      </c>
      <c r="C48" s="1" t="s">
        <v>584</v>
      </c>
      <c r="D48" s="1" t="s">
        <v>584</v>
      </c>
      <c r="E48" s="1">
        <v>10</v>
      </c>
      <c r="F48" s="1">
        <v>9</v>
      </c>
      <c r="G48" s="1">
        <v>8</v>
      </c>
      <c r="H48" s="1">
        <v>3</v>
      </c>
      <c r="I48" s="1" t="s">
        <v>592</v>
      </c>
      <c r="J48" s="38"/>
    </row>
    <row r="49" spans="2:10" ht="12.75">
      <c r="B49" s="36" t="s">
        <v>611</v>
      </c>
      <c r="C49" s="1" t="s">
        <v>584</v>
      </c>
      <c r="D49" s="1" t="s">
        <v>584</v>
      </c>
      <c r="E49" s="1">
        <v>3</v>
      </c>
      <c r="F49" s="1">
        <v>9</v>
      </c>
      <c r="G49" s="1">
        <v>1</v>
      </c>
      <c r="H49" s="1">
        <v>0</v>
      </c>
      <c r="I49" s="1" t="s">
        <v>592</v>
      </c>
      <c r="J49" s="38"/>
    </row>
    <row r="50" spans="2:10" ht="12.75">
      <c r="B50" s="36" t="s">
        <v>612</v>
      </c>
      <c r="C50" s="1" t="s">
        <v>584</v>
      </c>
      <c r="D50" s="1" t="s">
        <v>584</v>
      </c>
      <c r="E50" s="1">
        <v>3</v>
      </c>
      <c r="F50" s="1">
        <v>2</v>
      </c>
      <c r="G50" s="1">
        <v>15</v>
      </c>
      <c r="H50" s="1">
        <v>6</v>
      </c>
      <c r="I50" s="1" t="s">
        <v>592</v>
      </c>
      <c r="J50" s="38"/>
    </row>
    <row r="51" spans="2:10" ht="12.75">
      <c r="B51" s="36" t="s">
        <v>602</v>
      </c>
      <c r="C51" s="1" t="s">
        <v>584</v>
      </c>
      <c r="D51" s="1" t="s">
        <v>584</v>
      </c>
      <c r="E51" s="1">
        <v>14</v>
      </c>
      <c r="F51" s="1">
        <v>5</v>
      </c>
      <c r="G51" s="1">
        <v>5</v>
      </c>
      <c r="H51" s="1">
        <v>12</v>
      </c>
      <c r="I51" s="1" t="e">
        <v>#REF!</v>
      </c>
      <c r="J51" s="38"/>
    </row>
    <row r="52" spans="2:10" ht="12.75">
      <c r="B52" s="177"/>
      <c r="C52" s="177"/>
      <c r="D52" s="177"/>
      <c r="E52" s="177"/>
      <c r="F52" s="177"/>
      <c r="G52" s="177"/>
      <c r="H52" s="47"/>
      <c r="I52" s="177"/>
      <c r="J52" s="177"/>
    </row>
    <row r="53" spans="2:10" ht="12.75">
      <c r="B53" s="1" t="s">
        <v>613</v>
      </c>
      <c r="C53" s="177"/>
      <c r="D53" s="177"/>
      <c r="E53" s="177"/>
      <c r="F53" s="177"/>
      <c r="G53" s="177"/>
      <c r="H53" s="47"/>
      <c r="I53" s="177"/>
      <c r="J53" s="177"/>
    </row>
    <row r="54" spans="2:10" ht="12.75">
      <c r="B54" s="36" t="s">
        <v>607</v>
      </c>
      <c r="C54" s="1" t="s">
        <v>584</v>
      </c>
      <c r="D54" s="1" t="s">
        <v>584</v>
      </c>
      <c r="E54" s="47">
        <f t="shared" ref="E54:F54" si="10">E45/E$4</f>
        <v>0.23456790123456789</v>
      </c>
      <c r="F54" s="47">
        <f t="shared" si="10"/>
        <v>0.34883720930232559</v>
      </c>
      <c r="G54" s="47">
        <v>0.60699999999999998</v>
      </c>
      <c r="H54" s="47">
        <v>0.77800000000000002</v>
      </c>
      <c r="I54" s="47" t="e">
        <f t="shared" ref="I54:I60" si="11">I45/$I$4</f>
        <v>#VALUE!</v>
      </c>
      <c r="J54" s="177"/>
    </row>
    <row r="55" spans="2:10" ht="12.75">
      <c r="B55" s="36" t="s">
        <v>608</v>
      </c>
      <c r="C55" s="1" t="s">
        <v>584</v>
      </c>
      <c r="D55" s="1" t="s">
        <v>584</v>
      </c>
      <c r="E55" s="47">
        <f t="shared" ref="E55:F55" si="12">E46/E$4</f>
        <v>0.39506172839506171</v>
      </c>
      <c r="F55" s="47">
        <f t="shared" si="12"/>
        <v>0.22093023255813954</v>
      </c>
      <c r="G55" s="47">
        <v>4.8000000000000001E-2</v>
      </c>
      <c r="H55" s="47">
        <v>0</v>
      </c>
      <c r="I55" s="47" t="e">
        <f t="shared" si="11"/>
        <v>#VALUE!</v>
      </c>
      <c r="J55" s="177"/>
    </row>
    <row r="56" spans="2:10" ht="12.75">
      <c r="B56" s="36" t="s">
        <v>609</v>
      </c>
      <c r="C56" s="1" t="s">
        <v>584</v>
      </c>
      <c r="D56" s="1" t="s">
        <v>584</v>
      </c>
      <c r="E56" s="47">
        <f t="shared" ref="E56:F56" si="13">E47/E$4</f>
        <v>0</v>
      </c>
      <c r="F56" s="47">
        <f t="shared" si="13"/>
        <v>0.13953488372093023</v>
      </c>
      <c r="G56" s="47">
        <v>0</v>
      </c>
      <c r="H56" s="48">
        <v>0</v>
      </c>
      <c r="I56" s="47" t="e">
        <f t="shared" si="11"/>
        <v>#VALUE!</v>
      </c>
      <c r="J56" s="177"/>
    </row>
    <row r="57" spans="2:10" ht="12.75">
      <c r="B57" s="36" t="s">
        <v>610</v>
      </c>
      <c r="C57" s="1" t="s">
        <v>584</v>
      </c>
      <c r="D57" s="1" t="s">
        <v>584</v>
      </c>
      <c r="E57" s="47">
        <f t="shared" ref="E57:F57" si="14">E48/E$4</f>
        <v>0.12345679012345678</v>
      </c>
      <c r="F57" s="47">
        <f t="shared" si="14"/>
        <v>0.10465116279069768</v>
      </c>
      <c r="G57" s="47">
        <v>9.5000000000000001E-2</v>
      </c>
      <c r="H57" s="48">
        <v>2.4E-2</v>
      </c>
      <c r="I57" s="47" t="e">
        <f t="shared" si="11"/>
        <v>#VALUE!</v>
      </c>
      <c r="J57" s="177"/>
    </row>
    <row r="58" spans="2:10" ht="12.75">
      <c r="B58" s="36" t="s">
        <v>611</v>
      </c>
      <c r="C58" s="1" t="s">
        <v>584</v>
      </c>
      <c r="D58" s="1" t="s">
        <v>584</v>
      </c>
      <c r="E58" s="47">
        <f t="shared" ref="E58:F58" si="15">E49/E$4</f>
        <v>3.7037037037037035E-2</v>
      </c>
      <c r="F58" s="47">
        <f t="shared" si="15"/>
        <v>0.10465116279069768</v>
      </c>
      <c r="G58" s="47">
        <v>1.2E-2</v>
      </c>
      <c r="H58" s="48">
        <v>0</v>
      </c>
      <c r="I58" s="47" t="e">
        <f t="shared" si="11"/>
        <v>#VALUE!</v>
      </c>
      <c r="J58" s="177"/>
    </row>
    <row r="59" spans="2:10" ht="12.75">
      <c r="B59" s="36" t="s">
        <v>612</v>
      </c>
      <c r="C59" s="1" t="s">
        <v>584</v>
      </c>
      <c r="D59" s="1" t="s">
        <v>584</v>
      </c>
      <c r="E59" s="47">
        <f t="shared" ref="E59:F59" si="16">E50/E$4</f>
        <v>3.7037037037037035E-2</v>
      </c>
      <c r="F59" s="47">
        <f t="shared" si="16"/>
        <v>2.3255813953488372E-2</v>
      </c>
      <c r="G59" s="47">
        <v>0.17899999999999999</v>
      </c>
      <c r="H59" s="48">
        <v>4.8000000000000001E-2</v>
      </c>
      <c r="I59" s="47" t="e">
        <f t="shared" si="11"/>
        <v>#VALUE!</v>
      </c>
      <c r="J59" s="177"/>
    </row>
    <row r="60" spans="2:10" ht="12.75">
      <c r="B60" s="36" t="s">
        <v>602</v>
      </c>
      <c r="C60" s="1" t="s">
        <v>584</v>
      </c>
      <c r="D60" s="1" t="s">
        <v>584</v>
      </c>
      <c r="E60" s="47">
        <f t="shared" ref="E60:F60" si="17">E51/E$4</f>
        <v>0.1728395061728395</v>
      </c>
      <c r="F60" s="47">
        <f t="shared" si="17"/>
        <v>5.8139534883720929E-2</v>
      </c>
      <c r="G60" s="47">
        <v>0.06</v>
      </c>
      <c r="H60" s="48">
        <v>9.5000000000000001E-2</v>
      </c>
      <c r="I60" s="47" t="e">
        <f t="shared" si="11"/>
        <v>#REF!</v>
      </c>
      <c r="J60" s="177"/>
    </row>
    <row r="62" spans="2:10" ht="12.75">
      <c r="B62" s="1" t="s">
        <v>614</v>
      </c>
      <c r="C62" s="177"/>
      <c r="D62" s="177"/>
      <c r="E62" s="177"/>
      <c r="F62" s="177"/>
      <c r="G62" s="177"/>
      <c r="H62" s="177"/>
      <c r="I62" s="177"/>
      <c r="J62" s="177"/>
    </row>
    <row r="63" spans="2:10" ht="12.75">
      <c r="B63" s="49" t="s">
        <v>615</v>
      </c>
      <c r="C63" s="1" t="s">
        <v>584</v>
      </c>
      <c r="D63" s="1" t="s">
        <v>584</v>
      </c>
      <c r="E63" s="1">
        <v>1</v>
      </c>
      <c r="F63" s="1">
        <v>1</v>
      </c>
      <c r="G63" s="1">
        <v>1</v>
      </c>
      <c r="H63" s="1">
        <v>0</v>
      </c>
      <c r="I63" s="1" t="e">
        <v>#VALUE!</v>
      </c>
      <c r="J63" s="38"/>
    </row>
    <row r="64" spans="2:10" ht="12.75">
      <c r="B64" s="50">
        <v>44961</v>
      </c>
      <c r="C64" s="1" t="s">
        <v>584</v>
      </c>
      <c r="D64" s="1" t="s">
        <v>584</v>
      </c>
      <c r="E64" s="1">
        <v>5</v>
      </c>
      <c r="F64" s="1">
        <v>6</v>
      </c>
      <c r="G64" s="1">
        <v>5</v>
      </c>
      <c r="H64" s="1">
        <v>7</v>
      </c>
      <c r="I64" s="1" t="e">
        <v>#VALUE!</v>
      </c>
      <c r="J64" s="38"/>
    </row>
    <row r="65" spans="2:10" ht="12.75">
      <c r="B65" s="50">
        <v>45022</v>
      </c>
      <c r="C65" s="1" t="s">
        <v>584</v>
      </c>
      <c r="D65" s="1" t="s">
        <v>584</v>
      </c>
      <c r="E65" s="1">
        <v>29</v>
      </c>
      <c r="F65" s="1">
        <v>16</v>
      </c>
      <c r="G65" s="1">
        <v>12</v>
      </c>
      <c r="H65" s="1">
        <v>31</v>
      </c>
      <c r="I65" s="1" t="e">
        <v>#VALUE!</v>
      </c>
      <c r="J65" s="38"/>
    </row>
    <row r="66" spans="2:10" ht="12.75">
      <c r="B66" s="50">
        <v>45085</v>
      </c>
      <c r="C66" s="1" t="s">
        <v>584</v>
      </c>
      <c r="D66" s="1" t="s">
        <v>584</v>
      </c>
      <c r="E66" s="1">
        <v>21</v>
      </c>
      <c r="F66" s="1">
        <v>21</v>
      </c>
      <c r="G66" s="1">
        <v>19</v>
      </c>
      <c r="H66" s="1">
        <v>25</v>
      </c>
      <c r="I66" s="1" t="e">
        <v>#VALUE!</v>
      </c>
      <c r="J66" s="38"/>
    </row>
    <row r="67" spans="2:10" ht="12.75">
      <c r="B67" s="50">
        <v>45148</v>
      </c>
      <c r="C67" s="1" t="s">
        <v>584</v>
      </c>
      <c r="D67" s="1" t="s">
        <v>584</v>
      </c>
      <c r="E67" s="1">
        <v>5</v>
      </c>
      <c r="F67" s="1">
        <v>21</v>
      </c>
      <c r="G67" s="1">
        <v>16</v>
      </c>
      <c r="H67" s="1">
        <v>17</v>
      </c>
      <c r="I67" s="1" t="e">
        <v>#VALUE!</v>
      </c>
      <c r="J67" s="38"/>
    </row>
    <row r="68" spans="2:10" ht="12.75">
      <c r="B68" s="51">
        <v>44846</v>
      </c>
      <c r="C68" s="1" t="s">
        <v>584</v>
      </c>
      <c r="D68" s="1" t="s">
        <v>584</v>
      </c>
      <c r="E68" s="1">
        <v>7</v>
      </c>
      <c r="F68" s="1">
        <v>9</v>
      </c>
      <c r="G68" s="1">
        <v>12</v>
      </c>
      <c r="H68" s="1">
        <v>16</v>
      </c>
      <c r="I68" s="1" t="e">
        <v>#VALUE!</v>
      </c>
      <c r="J68" s="38"/>
    </row>
    <row r="69" spans="2:10" ht="12.75">
      <c r="B69" s="51">
        <v>44910</v>
      </c>
      <c r="C69" s="1" t="s">
        <v>584</v>
      </c>
      <c r="D69" s="1" t="s">
        <v>584</v>
      </c>
      <c r="E69" s="1">
        <v>4</v>
      </c>
      <c r="F69" s="1">
        <v>3</v>
      </c>
      <c r="G69" s="1">
        <v>7</v>
      </c>
      <c r="H69" s="1">
        <v>8</v>
      </c>
      <c r="I69" s="1" t="e">
        <v>#VALUE!</v>
      </c>
      <c r="J69" s="38"/>
    </row>
    <row r="70" spans="2:10" ht="12.75">
      <c r="B70" s="52" t="s">
        <v>616</v>
      </c>
      <c r="C70" s="1" t="s">
        <v>584</v>
      </c>
      <c r="D70" s="1" t="s">
        <v>584</v>
      </c>
      <c r="E70" s="1">
        <v>5</v>
      </c>
      <c r="F70" s="1">
        <v>4</v>
      </c>
      <c r="G70" s="1">
        <v>5</v>
      </c>
      <c r="H70" s="1">
        <v>9</v>
      </c>
      <c r="I70" s="1" t="e">
        <v>#VALUE!</v>
      </c>
      <c r="J70" s="38"/>
    </row>
    <row r="71" spans="2:10" ht="12.75">
      <c r="B71" s="52" t="s">
        <v>617</v>
      </c>
      <c r="C71" s="1" t="s">
        <v>584</v>
      </c>
      <c r="D71" s="1" t="s">
        <v>584</v>
      </c>
      <c r="E71" s="1">
        <v>4</v>
      </c>
      <c r="F71" s="1">
        <v>4</v>
      </c>
      <c r="G71" s="1">
        <v>5</v>
      </c>
      <c r="H71" s="1">
        <v>4</v>
      </c>
      <c r="I71" s="1" t="e">
        <v>#VALUE!</v>
      </c>
      <c r="J71" s="38"/>
    </row>
    <row r="72" spans="2:10" ht="12.75">
      <c r="B72" s="52" t="s">
        <v>618</v>
      </c>
      <c r="C72" s="1" t="s">
        <v>584</v>
      </c>
      <c r="D72" s="1" t="s">
        <v>584</v>
      </c>
      <c r="E72" s="1">
        <v>0</v>
      </c>
      <c r="F72" s="1">
        <v>1</v>
      </c>
      <c r="G72" s="1">
        <v>2</v>
      </c>
      <c r="H72" s="1">
        <v>2</v>
      </c>
      <c r="I72" s="1" t="e">
        <v>#VALUE!</v>
      </c>
      <c r="J72" s="38"/>
    </row>
    <row r="73" spans="2:10" ht="12.75">
      <c r="B73" s="177"/>
      <c r="C73" s="177"/>
      <c r="D73" s="177"/>
      <c r="E73" s="177"/>
      <c r="F73" s="177"/>
      <c r="G73" s="177"/>
      <c r="H73" s="47"/>
      <c r="I73" s="177"/>
      <c r="J73" s="177"/>
    </row>
    <row r="74" spans="2:10" ht="12.75">
      <c r="B74" s="1" t="s">
        <v>619</v>
      </c>
      <c r="C74" s="177"/>
      <c r="D74" s="177"/>
      <c r="E74" s="177"/>
      <c r="F74" s="177"/>
      <c r="G74" s="177"/>
      <c r="H74" s="47"/>
      <c r="I74" s="177"/>
      <c r="J74" s="177"/>
    </row>
    <row r="75" spans="2:10" ht="12.75">
      <c r="B75" s="49" t="s">
        <v>615</v>
      </c>
      <c r="C75" s="1" t="s">
        <v>584</v>
      </c>
      <c r="D75" s="1" t="s">
        <v>584</v>
      </c>
      <c r="E75" s="47">
        <f t="shared" ref="E75:F75" si="18">E63/E$4</f>
        <v>1.2345679012345678E-2</v>
      </c>
      <c r="F75" s="47">
        <f t="shared" si="18"/>
        <v>1.1627906976744186E-2</v>
      </c>
      <c r="G75" s="47">
        <v>1.2E-2</v>
      </c>
      <c r="H75" s="47">
        <v>0</v>
      </c>
      <c r="I75" s="47" t="e">
        <f t="shared" ref="I75:I84" si="19">I63/$I$4</f>
        <v>#VALUE!</v>
      </c>
      <c r="J75" s="47"/>
    </row>
    <row r="76" spans="2:10" ht="12.75">
      <c r="B76" s="50">
        <v>44961</v>
      </c>
      <c r="C76" s="1" t="s">
        <v>584</v>
      </c>
      <c r="D76" s="1" t="s">
        <v>584</v>
      </c>
      <c r="E76" s="47">
        <f t="shared" ref="E76:F76" si="20">E64/E$4</f>
        <v>6.1728395061728392E-2</v>
      </c>
      <c r="F76" s="47">
        <f t="shared" si="20"/>
        <v>6.9767441860465115E-2</v>
      </c>
      <c r="G76" s="47">
        <v>0.06</v>
      </c>
      <c r="H76" s="47">
        <v>5.6000000000000001E-2</v>
      </c>
      <c r="I76" s="47" t="e">
        <f t="shared" si="19"/>
        <v>#VALUE!</v>
      </c>
      <c r="J76" s="47"/>
    </row>
    <row r="77" spans="2:10" ht="12.75">
      <c r="B77" s="50">
        <v>45022</v>
      </c>
      <c r="C77" s="1" t="s">
        <v>584</v>
      </c>
      <c r="D77" s="1" t="s">
        <v>584</v>
      </c>
      <c r="E77" s="47">
        <f t="shared" ref="E77:F77" si="21">E65/E$4</f>
        <v>0.35802469135802467</v>
      </c>
      <c r="F77" s="47">
        <f t="shared" si="21"/>
        <v>0.18604651162790697</v>
      </c>
      <c r="G77" s="47">
        <v>0.14299999999999999</v>
      </c>
      <c r="H77" s="47">
        <v>0.246</v>
      </c>
      <c r="I77" s="47" t="e">
        <f t="shared" si="19"/>
        <v>#VALUE!</v>
      </c>
      <c r="J77" s="47"/>
    </row>
    <row r="78" spans="2:10" ht="12.75">
      <c r="B78" s="50">
        <v>45085</v>
      </c>
      <c r="C78" s="1" t="s">
        <v>584</v>
      </c>
      <c r="D78" s="1" t="s">
        <v>584</v>
      </c>
      <c r="E78" s="47">
        <f t="shared" ref="E78:F78" si="22">E66/E$4</f>
        <v>0.25925925925925924</v>
      </c>
      <c r="F78" s="47">
        <f t="shared" si="22"/>
        <v>0.2441860465116279</v>
      </c>
      <c r="G78" s="47">
        <v>0.22600000000000001</v>
      </c>
      <c r="H78" s="47">
        <v>0.19800000000000001</v>
      </c>
      <c r="I78" s="47" t="e">
        <f t="shared" si="19"/>
        <v>#VALUE!</v>
      </c>
      <c r="J78" s="47"/>
    </row>
    <row r="79" spans="2:10" ht="12.75">
      <c r="B79" s="50">
        <v>45148</v>
      </c>
      <c r="C79" s="1" t="s">
        <v>584</v>
      </c>
      <c r="D79" s="1" t="s">
        <v>584</v>
      </c>
      <c r="E79" s="47">
        <f t="shared" ref="E79:F79" si="23">E67/E$4</f>
        <v>6.1728395061728392E-2</v>
      </c>
      <c r="F79" s="47">
        <f t="shared" si="23"/>
        <v>0.2441860465116279</v>
      </c>
      <c r="G79" s="47">
        <v>0.19</v>
      </c>
      <c r="H79" s="47">
        <v>0.13500000000000001</v>
      </c>
      <c r="I79" s="47" t="e">
        <f t="shared" si="19"/>
        <v>#VALUE!</v>
      </c>
      <c r="J79" s="47"/>
    </row>
    <row r="80" spans="2:10" ht="12.75">
      <c r="B80" s="51">
        <v>44846</v>
      </c>
      <c r="C80" s="1" t="s">
        <v>584</v>
      </c>
      <c r="D80" s="1" t="s">
        <v>584</v>
      </c>
      <c r="E80" s="47">
        <f t="shared" ref="E80:F80" si="24">E68/E$4</f>
        <v>8.6419753086419748E-2</v>
      </c>
      <c r="F80" s="47">
        <f t="shared" si="24"/>
        <v>0.10465116279069768</v>
      </c>
      <c r="G80" s="47">
        <v>0.14299999999999999</v>
      </c>
      <c r="H80" s="48">
        <v>0.127</v>
      </c>
      <c r="I80" s="47" t="e">
        <f t="shared" si="19"/>
        <v>#VALUE!</v>
      </c>
      <c r="J80" s="47"/>
    </row>
    <row r="81" spans="2:10" ht="12.75">
      <c r="B81" s="51">
        <v>44910</v>
      </c>
      <c r="C81" s="1" t="s">
        <v>584</v>
      </c>
      <c r="D81" s="1" t="s">
        <v>584</v>
      </c>
      <c r="E81" s="47">
        <f t="shared" ref="E81:F81" si="25">E69/E$4</f>
        <v>4.9382716049382713E-2</v>
      </c>
      <c r="F81" s="47">
        <f t="shared" si="25"/>
        <v>3.4883720930232558E-2</v>
      </c>
      <c r="G81" s="47">
        <v>8.3000000000000004E-2</v>
      </c>
      <c r="H81" s="48">
        <v>6.3E-2</v>
      </c>
      <c r="I81" s="47" t="e">
        <f t="shared" si="19"/>
        <v>#VALUE!</v>
      </c>
      <c r="J81" s="47"/>
    </row>
    <row r="82" spans="2:10" ht="12.75">
      <c r="B82" s="52" t="s">
        <v>616</v>
      </c>
      <c r="C82" s="1" t="s">
        <v>584</v>
      </c>
      <c r="D82" s="1" t="s">
        <v>584</v>
      </c>
      <c r="E82" s="47">
        <f t="shared" ref="E82:F82" si="26">E70/E$4</f>
        <v>6.1728395061728392E-2</v>
      </c>
      <c r="F82" s="47">
        <f t="shared" si="26"/>
        <v>4.6511627906976744E-2</v>
      </c>
      <c r="G82" s="47">
        <v>0.06</v>
      </c>
      <c r="H82" s="48">
        <v>7.0999999999999994E-2</v>
      </c>
      <c r="I82" s="47" t="e">
        <f t="shared" si="19"/>
        <v>#VALUE!</v>
      </c>
      <c r="J82" s="47"/>
    </row>
    <row r="83" spans="2:10" ht="12.75">
      <c r="B83" s="52" t="s">
        <v>617</v>
      </c>
      <c r="C83" s="1" t="s">
        <v>584</v>
      </c>
      <c r="D83" s="1" t="s">
        <v>584</v>
      </c>
      <c r="E83" s="47">
        <f t="shared" ref="E83:F83" si="27">E71/E$4</f>
        <v>4.9382716049382713E-2</v>
      </c>
      <c r="F83" s="47">
        <f t="shared" si="27"/>
        <v>4.6511627906976744E-2</v>
      </c>
      <c r="G83" s="47">
        <v>0.06</v>
      </c>
      <c r="H83" s="48">
        <v>3.2000000000000001E-2</v>
      </c>
      <c r="I83" s="47" t="e">
        <f t="shared" si="19"/>
        <v>#VALUE!</v>
      </c>
      <c r="J83" s="47"/>
    </row>
    <row r="84" spans="2:10" ht="12.75">
      <c r="B84" s="52" t="s">
        <v>618</v>
      </c>
      <c r="C84" s="1" t="s">
        <v>584</v>
      </c>
      <c r="D84" s="1" t="s">
        <v>584</v>
      </c>
      <c r="E84" s="47">
        <f t="shared" ref="E84:F84" si="28">E72/E$4</f>
        <v>0</v>
      </c>
      <c r="F84" s="47">
        <f t="shared" si="28"/>
        <v>1.1627906976744186E-2</v>
      </c>
      <c r="G84" s="47">
        <v>2.4E-2</v>
      </c>
      <c r="H84" s="48">
        <v>1.6E-2</v>
      </c>
      <c r="I84" s="47" t="e">
        <f t="shared" si="19"/>
        <v>#VALUE!</v>
      </c>
      <c r="J84" s="47"/>
    </row>
    <row r="86" spans="2:10" ht="12.75">
      <c r="B86" s="1" t="s">
        <v>620</v>
      </c>
      <c r="C86" s="177"/>
      <c r="D86" s="177"/>
      <c r="E86" s="177"/>
      <c r="F86" s="177"/>
      <c r="G86" s="177"/>
      <c r="H86" s="177"/>
      <c r="I86" s="177"/>
      <c r="J86" s="177"/>
    </row>
    <row r="87" spans="2:10" ht="12.75">
      <c r="B87" s="49" t="s">
        <v>621</v>
      </c>
      <c r="C87" s="1" t="s">
        <v>584</v>
      </c>
      <c r="D87" s="1" t="s">
        <v>584</v>
      </c>
      <c r="E87" s="1">
        <v>1</v>
      </c>
      <c r="F87" s="1">
        <v>2</v>
      </c>
      <c r="G87" s="1">
        <v>1</v>
      </c>
      <c r="H87" s="1">
        <v>0</v>
      </c>
      <c r="I87" s="1" t="e">
        <v>#REF!</v>
      </c>
      <c r="J87" s="38"/>
    </row>
    <row r="88" spans="2:10" ht="12.75">
      <c r="B88" s="49" t="s">
        <v>622</v>
      </c>
      <c r="C88" s="1" t="s">
        <v>584</v>
      </c>
      <c r="D88" s="1" t="s">
        <v>584</v>
      </c>
      <c r="E88" s="1">
        <v>18</v>
      </c>
      <c r="F88" s="1">
        <v>7</v>
      </c>
      <c r="G88" s="1">
        <v>10</v>
      </c>
      <c r="H88" s="1">
        <v>29</v>
      </c>
      <c r="I88" s="1" t="e">
        <v>#REF!</v>
      </c>
      <c r="J88" s="38"/>
    </row>
    <row r="89" spans="2:10" ht="12.75">
      <c r="B89" s="49" t="s">
        <v>623</v>
      </c>
      <c r="C89" s="1" t="s">
        <v>584</v>
      </c>
      <c r="D89" s="1" t="s">
        <v>584</v>
      </c>
      <c r="E89" s="1">
        <v>25</v>
      </c>
      <c r="F89" s="1">
        <v>16</v>
      </c>
      <c r="G89" s="1">
        <v>6</v>
      </c>
      <c r="H89" s="1">
        <v>18</v>
      </c>
      <c r="I89" s="1" t="e">
        <v>#REF!</v>
      </c>
      <c r="J89" s="38"/>
    </row>
    <row r="90" spans="2:10" ht="12.75">
      <c r="B90" s="49" t="s">
        <v>624</v>
      </c>
      <c r="C90" s="1" t="s">
        <v>584</v>
      </c>
      <c r="D90" s="1" t="s">
        <v>584</v>
      </c>
      <c r="E90" s="1">
        <v>18</v>
      </c>
      <c r="F90" s="1">
        <v>24</v>
      </c>
      <c r="G90" s="1">
        <v>22</v>
      </c>
      <c r="H90" s="1">
        <v>25</v>
      </c>
      <c r="I90" s="1" t="e">
        <v>#REF!</v>
      </c>
      <c r="J90" s="38"/>
    </row>
    <row r="91" spans="2:10" ht="12.75">
      <c r="B91" s="49" t="s">
        <v>625</v>
      </c>
      <c r="C91" s="1" t="s">
        <v>584</v>
      </c>
      <c r="D91" s="1" t="s">
        <v>584</v>
      </c>
      <c r="E91" s="1">
        <v>4</v>
      </c>
      <c r="F91" s="1">
        <v>18</v>
      </c>
      <c r="G91" s="1">
        <v>21</v>
      </c>
      <c r="H91" s="1">
        <v>20</v>
      </c>
      <c r="I91" s="1" t="e">
        <v>#REF!</v>
      </c>
      <c r="J91" s="38"/>
    </row>
    <row r="92" spans="2:10" ht="12.75">
      <c r="B92" s="49" t="s">
        <v>626</v>
      </c>
      <c r="C92" s="1" t="s">
        <v>584</v>
      </c>
      <c r="D92" s="1" t="s">
        <v>584</v>
      </c>
      <c r="E92" s="1">
        <v>7</v>
      </c>
      <c r="F92" s="1">
        <v>7</v>
      </c>
      <c r="G92" s="1">
        <v>7</v>
      </c>
      <c r="H92" s="1">
        <v>5</v>
      </c>
      <c r="I92" s="1" t="e">
        <v>#REF!</v>
      </c>
      <c r="J92" s="38"/>
    </row>
    <row r="93" spans="2:10" ht="12.75">
      <c r="B93" s="49" t="s">
        <v>627</v>
      </c>
      <c r="C93" s="1" t="s">
        <v>584</v>
      </c>
      <c r="D93" s="1" t="s">
        <v>584</v>
      </c>
      <c r="E93" s="1">
        <v>2</v>
      </c>
      <c r="F93" s="1">
        <v>2</v>
      </c>
      <c r="G93" s="1">
        <v>3</v>
      </c>
      <c r="H93" s="1">
        <v>9</v>
      </c>
      <c r="I93" s="1" t="e">
        <v>#REF!</v>
      </c>
      <c r="J93" s="38"/>
    </row>
    <row r="94" spans="2:10" ht="12.75">
      <c r="B94" s="49" t="s">
        <v>628</v>
      </c>
      <c r="C94" s="1" t="s">
        <v>584</v>
      </c>
      <c r="D94" s="1" t="s">
        <v>584</v>
      </c>
      <c r="E94" s="1">
        <v>2</v>
      </c>
      <c r="F94" s="1">
        <v>4</v>
      </c>
      <c r="G94" s="1">
        <v>5</v>
      </c>
      <c r="H94" s="1">
        <v>4</v>
      </c>
      <c r="I94" s="1" t="e">
        <v>#REF!</v>
      </c>
      <c r="J94" s="38"/>
    </row>
    <row r="95" spans="2:10" ht="12.75">
      <c r="B95" s="49" t="s">
        <v>629</v>
      </c>
      <c r="C95" s="1" t="s">
        <v>584</v>
      </c>
      <c r="D95" s="1" t="s">
        <v>584</v>
      </c>
      <c r="E95" s="1">
        <v>2</v>
      </c>
      <c r="F95" s="1">
        <v>2</v>
      </c>
      <c r="G95" s="1">
        <v>0</v>
      </c>
      <c r="H95" s="1">
        <v>1</v>
      </c>
      <c r="I95" s="1" t="e">
        <v>#REF!</v>
      </c>
      <c r="J95" s="38"/>
    </row>
    <row r="96" spans="2:10" ht="12.75">
      <c r="B96" s="49" t="s">
        <v>630</v>
      </c>
      <c r="C96" s="1" t="s">
        <v>584</v>
      </c>
      <c r="D96" s="1" t="s">
        <v>584</v>
      </c>
      <c r="E96" s="1">
        <v>2</v>
      </c>
      <c r="F96" s="1">
        <v>4</v>
      </c>
      <c r="G96" s="1">
        <v>9</v>
      </c>
      <c r="H96" s="1">
        <v>7</v>
      </c>
      <c r="I96" s="1" t="e">
        <v>#REF!</v>
      </c>
      <c r="J96" s="38"/>
    </row>
    <row r="97" spans="2:10" ht="12.75">
      <c r="B97" s="177"/>
      <c r="C97" s="177"/>
      <c r="D97" s="177"/>
      <c r="E97" s="177"/>
      <c r="F97" s="177"/>
      <c r="G97" s="177"/>
      <c r="H97" s="47"/>
      <c r="I97" s="177"/>
      <c r="J97" s="177"/>
    </row>
    <row r="98" spans="2:10" ht="12.75">
      <c r="B98" s="1" t="s">
        <v>631</v>
      </c>
      <c r="C98" s="177"/>
      <c r="D98" s="177"/>
      <c r="E98" s="177"/>
      <c r="F98" s="177"/>
      <c r="G98" s="177"/>
      <c r="H98" s="47"/>
      <c r="I98" s="177"/>
      <c r="J98" s="177"/>
    </row>
    <row r="99" spans="2:10" ht="12.75">
      <c r="B99" s="49" t="s">
        <v>621</v>
      </c>
      <c r="C99" s="1" t="s">
        <v>584</v>
      </c>
      <c r="D99" s="1" t="s">
        <v>584</v>
      </c>
      <c r="E99" s="47">
        <f t="shared" ref="E99:F99" si="29">E87/E$4</f>
        <v>1.2345679012345678E-2</v>
      </c>
      <c r="F99" s="47">
        <f t="shared" si="29"/>
        <v>2.3255813953488372E-2</v>
      </c>
      <c r="G99" s="47">
        <v>1.2E-2</v>
      </c>
      <c r="H99" s="47">
        <v>0</v>
      </c>
      <c r="I99" s="47" t="e">
        <f t="shared" ref="I99:I108" si="30">I87/$I$4</f>
        <v>#REF!</v>
      </c>
      <c r="J99" s="177"/>
    </row>
    <row r="100" spans="2:10" ht="12.75">
      <c r="B100" s="49" t="s">
        <v>622</v>
      </c>
      <c r="C100" s="1" t="s">
        <v>584</v>
      </c>
      <c r="D100" s="1" t="s">
        <v>584</v>
      </c>
      <c r="E100" s="47">
        <f t="shared" ref="E100:F100" si="31">E88/E$4</f>
        <v>0.22222222222222221</v>
      </c>
      <c r="F100" s="47">
        <f t="shared" si="31"/>
        <v>8.1395348837209308E-2</v>
      </c>
      <c r="G100" s="47">
        <v>0.11899999999999999</v>
      </c>
      <c r="H100" s="47">
        <v>0.23</v>
      </c>
      <c r="I100" s="47" t="e">
        <f t="shared" si="30"/>
        <v>#REF!</v>
      </c>
      <c r="J100" s="177"/>
    </row>
    <row r="101" spans="2:10" ht="12.75">
      <c r="B101" s="49" t="s">
        <v>623</v>
      </c>
      <c r="C101" s="1" t="s">
        <v>584</v>
      </c>
      <c r="D101" s="1" t="s">
        <v>584</v>
      </c>
      <c r="E101" s="47">
        <f t="shared" ref="E101:F101" si="32">E89/E$4</f>
        <v>0.30864197530864196</v>
      </c>
      <c r="F101" s="47">
        <f t="shared" si="32"/>
        <v>0.18604651162790697</v>
      </c>
      <c r="G101" s="47">
        <v>7.0999999999999994E-2</v>
      </c>
      <c r="H101" s="47">
        <v>0.14299999999999999</v>
      </c>
      <c r="I101" s="47" t="e">
        <f t="shared" si="30"/>
        <v>#REF!</v>
      </c>
      <c r="J101" s="177"/>
    </row>
    <row r="102" spans="2:10" ht="12.75">
      <c r="B102" s="49" t="s">
        <v>624</v>
      </c>
      <c r="C102" s="1" t="s">
        <v>584</v>
      </c>
      <c r="D102" s="1" t="s">
        <v>584</v>
      </c>
      <c r="E102" s="47">
        <f t="shared" ref="E102:F102" si="33">E90/E$4</f>
        <v>0.22222222222222221</v>
      </c>
      <c r="F102" s="47">
        <f t="shared" si="33"/>
        <v>0.27906976744186046</v>
      </c>
      <c r="G102" s="47">
        <v>0.26200000000000001</v>
      </c>
      <c r="H102" s="47">
        <v>0.19800000000000001</v>
      </c>
      <c r="I102" s="47" t="e">
        <f t="shared" si="30"/>
        <v>#REF!</v>
      </c>
      <c r="J102" s="177"/>
    </row>
    <row r="103" spans="2:10" ht="12.75">
      <c r="B103" s="49" t="s">
        <v>625</v>
      </c>
      <c r="C103" s="1" t="s">
        <v>584</v>
      </c>
      <c r="D103" s="1" t="s">
        <v>584</v>
      </c>
      <c r="E103" s="47">
        <f t="shared" ref="E103:F103" si="34">E91/E$4</f>
        <v>4.9382716049382713E-2</v>
      </c>
      <c r="F103" s="47">
        <f t="shared" si="34"/>
        <v>0.20930232558139536</v>
      </c>
      <c r="G103" s="47">
        <v>0.25</v>
      </c>
      <c r="H103" s="47">
        <v>0.159</v>
      </c>
      <c r="I103" s="47" t="e">
        <f t="shared" si="30"/>
        <v>#REF!</v>
      </c>
      <c r="J103" s="177"/>
    </row>
    <row r="104" spans="2:10" ht="12.75">
      <c r="B104" s="49" t="s">
        <v>626</v>
      </c>
      <c r="C104" s="1" t="s">
        <v>584</v>
      </c>
      <c r="D104" s="1" t="s">
        <v>584</v>
      </c>
      <c r="E104" s="47">
        <f t="shared" ref="E104:F104" si="35">E92/E$4</f>
        <v>8.6419753086419748E-2</v>
      </c>
      <c r="F104" s="47">
        <f t="shared" si="35"/>
        <v>8.1395348837209308E-2</v>
      </c>
      <c r="G104" s="47">
        <v>8.3000000000000004E-2</v>
      </c>
      <c r="H104" s="48">
        <v>0.04</v>
      </c>
      <c r="I104" s="47" t="e">
        <f t="shared" si="30"/>
        <v>#REF!</v>
      </c>
      <c r="J104" s="177"/>
    </row>
    <row r="105" spans="2:10" ht="12.75">
      <c r="B105" s="49" t="s">
        <v>627</v>
      </c>
      <c r="C105" s="1" t="s">
        <v>584</v>
      </c>
      <c r="D105" s="1" t="s">
        <v>584</v>
      </c>
      <c r="E105" s="47">
        <f t="shared" ref="E105:F105" si="36">E93/E$4</f>
        <v>2.4691358024691357E-2</v>
      </c>
      <c r="F105" s="47">
        <f t="shared" si="36"/>
        <v>2.3255813953488372E-2</v>
      </c>
      <c r="G105" s="47">
        <v>3.5999999999999997E-2</v>
      </c>
      <c r="H105" s="48">
        <v>7.0999999999999994E-2</v>
      </c>
      <c r="I105" s="47" t="e">
        <f t="shared" si="30"/>
        <v>#REF!</v>
      </c>
      <c r="J105" s="177"/>
    </row>
    <row r="106" spans="2:10" ht="12.75">
      <c r="B106" s="49" t="s">
        <v>628</v>
      </c>
      <c r="C106" s="1" t="s">
        <v>584</v>
      </c>
      <c r="D106" s="1" t="s">
        <v>584</v>
      </c>
      <c r="E106" s="47">
        <f t="shared" ref="E106:F106" si="37">E94/E$4</f>
        <v>2.4691358024691357E-2</v>
      </c>
      <c r="F106" s="47">
        <f t="shared" si="37"/>
        <v>4.6511627906976744E-2</v>
      </c>
      <c r="G106" s="47">
        <v>0.06</v>
      </c>
      <c r="H106" s="48">
        <v>3.2000000000000001E-2</v>
      </c>
      <c r="I106" s="47" t="e">
        <f t="shared" si="30"/>
        <v>#REF!</v>
      </c>
      <c r="J106" s="177"/>
    </row>
    <row r="107" spans="2:10" ht="12.75">
      <c r="B107" s="49" t="s">
        <v>629</v>
      </c>
      <c r="C107" s="1" t="s">
        <v>584</v>
      </c>
      <c r="D107" s="1" t="s">
        <v>584</v>
      </c>
      <c r="E107" s="47">
        <f t="shared" ref="E107:F107" si="38">E95/E$4</f>
        <v>2.4691358024691357E-2</v>
      </c>
      <c r="F107" s="47">
        <f t="shared" si="38"/>
        <v>2.3255813953488372E-2</v>
      </c>
      <c r="G107" s="47">
        <v>0</v>
      </c>
      <c r="H107" s="48">
        <v>8.0000000000000002E-3</v>
      </c>
      <c r="I107" s="47" t="e">
        <f t="shared" si="30"/>
        <v>#REF!</v>
      </c>
      <c r="J107" s="177"/>
    </row>
    <row r="108" spans="2:10" ht="12.75">
      <c r="B108" s="49" t="s">
        <v>630</v>
      </c>
      <c r="C108" s="1" t="s">
        <v>584</v>
      </c>
      <c r="D108" s="1" t="s">
        <v>584</v>
      </c>
      <c r="E108" s="47">
        <f t="shared" ref="E108:F108" si="39">E96/E$4</f>
        <v>2.4691358024691357E-2</v>
      </c>
      <c r="F108" s="47">
        <f t="shared" si="39"/>
        <v>4.6511627906976744E-2</v>
      </c>
      <c r="G108" s="47">
        <v>0.107</v>
      </c>
      <c r="H108" s="48">
        <v>5.6000000000000001E-2</v>
      </c>
      <c r="I108" s="47" t="e">
        <f t="shared" si="30"/>
        <v>#REF!</v>
      </c>
      <c r="J108" s="177"/>
    </row>
    <row r="110" spans="2:10" ht="12.75">
      <c r="B110" s="1" t="s">
        <v>632</v>
      </c>
      <c r="C110" s="177"/>
      <c r="D110" s="177"/>
      <c r="E110" s="177"/>
      <c r="F110" s="177"/>
      <c r="G110" s="177"/>
      <c r="H110" s="177"/>
      <c r="I110" s="177"/>
      <c r="J110" s="177"/>
    </row>
    <row r="111" spans="2:10" ht="12.75">
      <c r="B111" s="49" t="s">
        <v>41</v>
      </c>
      <c r="C111" s="1" t="s">
        <v>584</v>
      </c>
      <c r="D111" s="1" t="s">
        <v>584</v>
      </c>
      <c r="E111" s="1" t="s">
        <v>584</v>
      </c>
      <c r="F111" s="1">
        <v>42</v>
      </c>
      <c r="G111" s="1">
        <v>46</v>
      </c>
      <c r="H111" s="1">
        <v>76</v>
      </c>
      <c r="I111" s="1" t="e">
        <v>#VALUE!</v>
      </c>
      <c r="J111" s="38"/>
    </row>
    <row r="112" spans="2:10" ht="12.75">
      <c r="B112" s="49" t="s">
        <v>80</v>
      </c>
      <c r="C112" s="1" t="s">
        <v>584</v>
      </c>
      <c r="D112" s="1" t="s">
        <v>584</v>
      </c>
      <c r="E112" s="1" t="s">
        <v>584</v>
      </c>
      <c r="F112" s="1">
        <v>11</v>
      </c>
      <c r="G112" s="1">
        <v>4</v>
      </c>
      <c r="H112" s="1">
        <v>3</v>
      </c>
      <c r="I112" s="1" t="e">
        <v>#VALUE!</v>
      </c>
      <c r="J112" s="38"/>
    </row>
    <row r="113" spans="2:10" ht="12.75">
      <c r="B113" s="49" t="s">
        <v>53</v>
      </c>
      <c r="C113" s="1" t="s">
        <v>584</v>
      </c>
      <c r="D113" s="1" t="s">
        <v>584</v>
      </c>
      <c r="E113" s="1" t="s">
        <v>584</v>
      </c>
      <c r="F113" s="1">
        <v>6</v>
      </c>
      <c r="G113" s="1">
        <v>2</v>
      </c>
      <c r="H113" s="1">
        <v>6</v>
      </c>
      <c r="I113" s="1" t="e">
        <v>#VALUE!</v>
      </c>
      <c r="J113" s="38"/>
    </row>
    <row r="114" spans="2:10" ht="12.75">
      <c r="B114" s="49" t="s">
        <v>290</v>
      </c>
      <c r="C114" s="1" t="s">
        <v>584</v>
      </c>
      <c r="D114" s="1" t="s">
        <v>584</v>
      </c>
      <c r="E114" s="1" t="s">
        <v>584</v>
      </c>
      <c r="F114" s="1">
        <v>3</v>
      </c>
      <c r="G114" s="1">
        <v>8</v>
      </c>
      <c r="H114" s="1">
        <v>10</v>
      </c>
      <c r="I114" s="1" t="e">
        <v>#VALUE!</v>
      </c>
      <c r="J114" s="38"/>
    </row>
    <row r="115" spans="2:10" ht="12.75">
      <c r="B115" s="49" t="s">
        <v>135</v>
      </c>
      <c r="C115" s="1" t="s">
        <v>584</v>
      </c>
      <c r="D115" s="1" t="s">
        <v>584</v>
      </c>
      <c r="E115" s="1" t="s">
        <v>584</v>
      </c>
      <c r="F115" s="1">
        <v>5</v>
      </c>
      <c r="G115" s="1">
        <v>8</v>
      </c>
      <c r="H115" s="1">
        <v>2</v>
      </c>
      <c r="I115" s="1" t="e">
        <v>#VALUE!</v>
      </c>
      <c r="J115" s="38"/>
    </row>
    <row r="116" spans="2:10" ht="12.75">
      <c r="B116" s="49" t="s">
        <v>146</v>
      </c>
      <c r="C116" s="1" t="s">
        <v>584</v>
      </c>
      <c r="D116" s="1" t="s">
        <v>584</v>
      </c>
      <c r="E116" s="1" t="s">
        <v>584</v>
      </c>
      <c r="F116" s="1">
        <v>7</v>
      </c>
      <c r="G116" s="1">
        <v>4</v>
      </c>
      <c r="H116" s="1">
        <v>1</v>
      </c>
      <c r="I116" s="1" t="e">
        <v>#VALUE!</v>
      </c>
      <c r="J116" s="38"/>
    </row>
    <row r="117" spans="2:10" ht="12.75">
      <c r="B117" s="49" t="s">
        <v>75</v>
      </c>
      <c r="C117" s="1" t="s">
        <v>584</v>
      </c>
      <c r="D117" s="1" t="s">
        <v>584</v>
      </c>
      <c r="E117" s="1" t="s">
        <v>584</v>
      </c>
      <c r="F117" s="1">
        <v>3</v>
      </c>
      <c r="G117" s="1">
        <v>3</v>
      </c>
      <c r="H117" s="1">
        <v>2</v>
      </c>
      <c r="I117" s="1" t="e">
        <v>#VALUE!</v>
      </c>
      <c r="J117" s="38"/>
    </row>
    <row r="118" spans="2:10" ht="12.75">
      <c r="B118" s="49" t="s">
        <v>127</v>
      </c>
      <c r="C118" s="1" t="s">
        <v>584</v>
      </c>
      <c r="D118" s="1" t="s">
        <v>584</v>
      </c>
      <c r="E118" s="1" t="s">
        <v>584</v>
      </c>
      <c r="F118" s="1">
        <v>0</v>
      </c>
      <c r="G118" s="1">
        <v>1</v>
      </c>
      <c r="H118" s="1">
        <v>1</v>
      </c>
      <c r="I118" s="1" t="e">
        <v>#VALUE!</v>
      </c>
      <c r="J118" s="38"/>
    </row>
    <row r="119" spans="2:10" ht="12.75">
      <c r="B119" s="49" t="s">
        <v>103</v>
      </c>
      <c r="C119" s="1" t="s">
        <v>584</v>
      </c>
      <c r="D119" s="1" t="s">
        <v>584</v>
      </c>
      <c r="E119" s="1" t="s">
        <v>584</v>
      </c>
      <c r="F119" s="1">
        <v>1</v>
      </c>
      <c r="G119" s="1">
        <v>2</v>
      </c>
      <c r="H119" s="1">
        <v>6</v>
      </c>
      <c r="I119" s="1" t="e">
        <v>#VALUE!</v>
      </c>
      <c r="J119" s="38"/>
    </row>
    <row r="120" spans="2:10" ht="12.75">
      <c r="B120" s="49" t="s">
        <v>59</v>
      </c>
      <c r="C120" s="1" t="s">
        <v>584</v>
      </c>
      <c r="D120" s="1" t="s">
        <v>584</v>
      </c>
      <c r="E120" s="1" t="s">
        <v>584</v>
      </c>
      <c r="F120" s="1">
        <v>1</v>
      </c>
      <c r="G120" s="1">
        <v>0</v>
      </c>
      <c r="H120" s="1">
        <v>3</v>
      </c>
      <c r="I120" s="1" t="e">
        <v>#VALUE!</v>
      </c>
      <c r="J120" s="38"/>
    </row>
    <row r="121" spans="2:10" ht="12.75">
      <c r="B121" s="49" t="s">
        <v>100</v>
      </c>
      <c r="C121" s="1" t="s">
        <v>584</v>
      </c>
      <c r="D121" s="1" t="s">
        <v>584</v>
      </c>
      <c r="E121" s="1" t="s">
        <v>584</v>
      </c>
      <c r="F121" s="1">
        <v>4</v>
      </c>
      <c r="G121" s="1">
        <v>3</v>
      </c>
      <c r="H121" s="1">
        <v>4</v>
      </c>
      <c r="I121" s="1" t="e">
        <v>#VALUE!</v>
      </c>
      <c r="J121" s="38"/>
    </row>
    <row r="122" spans="2:10" ht="12.75">
      <c r="B122" s="49" t="s">
        <v>92</v>
      </c>
      <c r="C122" s="1" t="s">
        <v>584</v>
      </c>
      <c r="D122" s="1" t="s">
        <v>584</v>
      </c>
      <c r="E122" s="1" t="s">
        <v>584</v>
      </c>
      <c r="F122" s="1">
        <v>4</v>
      </c>
      <c r="G122" s="1">
        <v>3</v>
      </c>
      <c r="H122" s="1">
        <v>1</v>
      </c>
      <c r="I122" s="1" t="e">
        <v>#VALUE!</v>
      </c>
      <c r="J122" s="38"/>
    </row>
    <row r="124" spans="2:10" ht="12.75">
      <c r="B124" s="1" t="s">
        <v>633</v>
      </c>
      <c r="C124" s="177"/>
      <c r="D124" s="177"/>
      <c r="E124" s="177"/>
      <c r="F124" s="177"/>
      <c r="G124" s="177"/>
      <c r="H124" s="177"/>
      <c r="I124" s="177"/>
      <c r="J124" s="177"/>
    </row>
    <row r="125" spans="2:10" ht="12.75">
      <c r="B125" s="49" t="s">
        <v>634</v>
      </c>
      <c r="C125" s="1" t="s">
        <v>584</v>
      </c>
      <c r="D125" s="1" t="s">
        <v>584</v>
      </c>
      <c r="E125" s="1" t="s">
        <v>584</v>
      </c>
      <c r="F125" s="1">
        <v>83</v>
      </c>
      <c r="G125" s="1">
        <v>79</v>
      </c>
      <c r="H125" s="1">
        <v>113</v>
      </c>
      <c r="I125" s="1" t="e">
        <f>COUNTIF(#REF!,"&lt;&gt;")</f>
        <v>#REF!</v>
      </c>
      <c r="J125" s="38"/>
    </row>
    <row r="126" spans="2:10" ht="12.75">
      <c r="B126" s="49" t="s">
        <v>635</v>
      </c>
      <c r="C126" s="1" t="s">
        <v>584</v>
      </c>
      <c r="D126" s="1" t="s">
        <v>584</v>
      </c>
      <c r="E126" s="1" t="s">
        <v>584</v>
      </c>
      <c r="F126" s="1">
        <v>3</v>
      </c>
      <c r="G126" s="1">
        <v>5</v>
      </c>
      <c r="H126" s="1">
        <v>6</v>
      </c>
      <c r="I126" s="1" t="e">
        <v>#VALUE!</v>
      </c>
      <c r="J126" s="38"/>
    </row>
    <row r="127" spans="2:10" ht="12.75">
      <c r="B127" s="49" t="s">
        <v>37</v>
      </c>
      <c r="C127" s="1" t="s">
        <v>584</v>
      </c>
      <c r="D127" s="1" t="s">
        <v>584</v>
      </c>
      <c r="E127" s="1" t="s">
        <v>584</v>
      </c>
      <c r="F127" s="1">
        <v>81</v>
      </c>
      <c r="G127" s="1">
        <v>76</v>
      </c>
      <c r="H127" s="1">
        <v>117</v>
      </c>
      <c r="I127" s="2"/>
      <c r="J127" s="38"/>
    </row>
    <row r="128" spans="2:10" ht="12.75">
      <c r="B128" s="49" t="s">
        <v>195</v>
      </c>
      <c r="C128" s="1" t="s">
        <v>584</v>
      </c>
      <c r="D128" s="1" t="s">
        <v>584</v>
      </c>
      <c r="E128" s="1" t="s">
        <v>584</v>
      </c>
      <c r="F128" s="1">
        <v>5</v>
      </c>
      <c r="G128" s="1">
        <v>8</v>
      </c>
      <c r="H128" s="1">
        <v>2</v>
      </c>
      <c r="I128" s="2"/>
      <c r="J128" s="38"/>
    </row>
    <row r="129" spans="2:13" ht="12.75">
      <c r="B129" s="1"/>
      <c r="C129" s="177"/>
      <c r="D129" s="177"/>
      <c r="E129" s="177"/>
      <c r="F129" s="177"/>
      <c r="G129" s="177"/>
      <c r="H129" s="39"/>
      <c r="I129" s="177"/>
      <c r="J129" s="177"/>
      <c r="K129" s="177"/>
      <c r="L129" s="177"/>
      <c r="M129" s="177"/>
    </row>
    <row r="130" spans="2:13" ht="12.75">
      <c r="B130" s="1" t="s">
        <v>636</v>
      </c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</row>
    <row r="131" spans="2:13" ht="12.75">
      <c r="B131" s="49" t="s">
        <v>634</v>
      </c>
      <c r="C131" s="1" t="s">
        <v>584</v>
      </c>
      <c r="D131" s="1" t="s">
        <v>584</v>
      </c>
      <c r="E131" s="1" t="s">
        <v>584</v>
      </c>
      <c r="F131" s="39">
        <v>2066477</v>
      </c>
      <c r="G131" s="39">
        <v>2126036</v>
      </c>
      <c r="H131" s="39">
        <v>2726891</v>
      </c>
      <c r="I131" s="39" t="e">
        <f>SUM(#REF!)</f>
        <v>#REF!</v>
      </c>
      <c r="J131" s="177"/>
      <c r="K131" s="177"/>
      <c r="L131" s="177"/>
      <c r="M131" s="177"/>
    </row>
    <row r="132" spans="2:13" ht="12.75">
      <c r="B132" s="49" t="s">
        <v>635</v>
      </c>
      <c r="C132" s="1" t="s">
        <v>584</v>
      </c>
      <c r="D132" s="1" t="s">
        <v>584</v>
      </c>
      <c r="E132" s="1" t="s">
        <v>584</v>
      </c>
      <c r="F132" s="39">
        <v>273056</v>
      </c>
      <c r="G132" s="39">
        <v>542900</v>
      </c>
      <c r="H132" s="39">
        <v>539978</v>
      </c>
      <c r="I132" s="39" t="e">
        <v>#REF!</v>
      </c>
      <c r="J132" s="177"/>
      <c r="K132" s="177"/>
      <c r="L132" s="177"/>
      <c r="M132" s="177"/>
    </row>
    <row r="133" spans="2:13" ht="12.75">
      <c r="B133" s="49" t="s">
        <v>37</v>
      </c>
      <c r="C133" s="1" t="s">
        <v>584</v>
      </c>
      <c r="D133" s="1" t="s">
        <v>584</v>
      </c>
      <c r="E133" s="1" t="s">
        <v>584</v>
      </c>
      <c r="F133" s="39">
        <v>2049476</v>
      </c>
      <c r="G133" s="39">
        <v>2356326</v>
      </c>
      <c r="H133" s="39">
        <v>3023168</v>
      </c>
      <c r="I133" s="53"/>
      <c r="J133" s="177"/>
      <c r="K133" s="177"/>
      <c r="L133" s="177"/>
      <c r="M133" s="177"/>
    </row>
    <row r="134" spans="2:13" ht="12.75">
      <c r="B134" s="49" t="s">
        <v>195</v>
      </c>
      <c r="C134" s="1" t="s">
        <v>584</v>
      </c>
      <c r="D134" s="1" t="s">
        <v>584</v>
      </c>
      <c r="E134" s="1" t="s">
        <v>584</v>
      </c>
      <c r="F134" s="39">
        <v>290057</v>
      </c>
      <c r="G134" s="39">
        <v>312610</v>
      </c>
      <c r="H134" s="39">
        <v>61937</v>
      </c>
      <c r="I134" s="53"/>
      <c r="J134" s="177"/>
      <c r="K134" s="177"/>
      <c r="L134" s="177"/>
      <c r="M134" s="177"/>
    </row>
    <row r="135" spans="2:13" ht="12.75">
      <c r="B135" s="177"/>
      <c r="C135" s="177"/>
      <c r="D135" s="177"/>
      <c r="E135" s="177"/>
      <c r="F135" s="177"/>
      <c r="G135" s="177"/>
      <c r="H135" s="39"/>
      <c r="I135" s="177"/>
      <c r="J135" s="177"/>
      <c r="K135" s="177"/>
      <c r="L135" s="177"/>
      <c r="M135" s="177"/>
    </row>
    <row r="136" spans="2:13" ht="12.75">
      <c r="B136" s="1" t="s">
        <v>637</v>
      </c>
      <c r="C136" s="177"/>
      <c r="D136" s="177"/>
      <c r="E136" s="177"/>
      <c r="F136" s="177"/>
      <c r="G136" s="177"/>
      <c r="H136" s="177"/>
      <c r="I136" s="177"/>
      <c r="J136" s="177"/>
      <c r="K136" s="177"/>
      <c r="L136" s="47"/>
      <c r="M136" s="47"/>
    </row>
    <row r="137" spans="2:13" ht="12.75">
      <c r="B137" s="49" t="s">
        <v>634</v>
      </c>
      <c r="C137" s="1" t="s">
        <v>584</v>
      </c>
      <c r="D137" s="1" t="s">
        <v>584</v>
      </c>
      <c r="E137" s="1" t="s">
        <v>584</v>
      </c>
      <c r="F137" s="1" t="s">
        <v>584</v>
      </c>
      <c r="G137" s="39">
        <v>776157</v>
      </c>
      <c r="H137" s="39">
        <v>1030055</v>
      </c>
      <c r="I137" s="39" t="e">
        <f>SUM(#REF!)</f>
        <v>#REF!</v>
      </c>
      <c r="J137" s="177"/>
      <c r="K137" s="177"/>
      <c r="L137" s="47"/>
      <c r="M137" s="47"/>
    </row>
    <row r="138" spans="2:13" ht="12.75">
      <c r="B138" s="49" t="s">
        <v>635</v>
      </c>
      <c r="C138" s="1" t="s">
        <v>584</v>
      </c>
      <c r="D138" s="1" t="s">
        <v>584</v>
      </c>
      <c r="E138" s="1" t="s">
        <v>584</v>
      </c>
      <c r="F138" s="1" t="s">
        <v>584</v>
      </c>
      <c r="G138" s="39">
        <v>208393</v>
      </c>
      <c r="H138" s="39">
        <v>191268</v>
      </c>
      <c r="I138" s="39" t="e">
        <v>#REF!</v>
      </c>
      <c r="J138" s="177"/>
      <c r="K138" s="177"/>
      <c r="L138" s="47"/>
      <c r="M138" s="47"/>
    </row>
    <row r="139" spans="2:13" ht="12.75">
      <c r="B139" s="49" t="s">
        <v>37</v>
      </c>
      <c r="C139" s="1" t="s">
        <v>584</v>
      </c>
      <c r="D139" s="1" t="s">
        <v>584</v>
      </c>
      <c r="E139" s="1" t="s">
        <v>584</v>
      </c>
      <c r="F139" s="1" t="s">
        <v>584</v>
      </c>
      <c r="G139" s="39">
        <v>869801</v>
      </c>
      <c r="H139" s="39">
        <v>1144304</v>
      </c>
      <c r="I139" s="53"/>
      <c r="J139" s="177"/>
      <c r="K139" s="177"/>
      <c r="L139" s="177"/>
      <c r="M139" s="177"/>
    </row>
    <row r="140" spans="2:13" ht="12.75">
      <c r="B140" s="49" t="s">
        <v>195</v>
      </c>
      <c r="C140" s="1" t="s">
        <v>584</v>
      </c>
      <c r="D140" s="1" t="s">
        <v>584</v>
      </c>
      <c r="E140" s="1" t="s">
        <v>584</v>
      </c>
      <c r="F140" s="1" t="s">
        <v>584</v>
      </c>
      <c r="G140" s="39">
        <v>114750</v>
      </c>
      <c r="H140" s="39">
        <v>24775</v>
      </c>
      <c r="I140" s="53"/>
      <c r="J140" s="177"/>
      <c r="K140" s="177"/>
      <c r="L140" s="177"/>
      <c r="M140" s="177"/>
    </row>
    <row r="141" spans="2:13" ht="12.75">
      <c r="B141" s="177"/>
      <c r="C141" s="177"/>
      <c r="D141" s="177"/>
      <c r="E141" s="177"/>
      <c r="F141" s="177"/>
      <c r="G141" s="177"/>
      <c r="H141" s="39"/>
      <c r="I141" s="177"/>
      <c r="J141" s="177"/>
      <c r="K141" s="177"/>
      <c r="L141" s="177"/>
      <c r="M141" s="177"/>
    </row>
    <row r="142" spans="2:13" ht="12.75">
      <c r="B142" s="1" t="s">
        <v>638</v>
      </c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</row>
    <row r="143" spans="2:13" ht="12.75">
      <c r="B143" s="49" t="s">
        <v>634</v>
      </c>
      <c r="C143" s="177"/>
      <c r="D143" s="177"/>
      <c r="E143" s="177"/>
      <c r="F143" s="177"/>
      <c r="G143" s="177"/>
      <c r="H143" s="39">
        <v>232323</v>
      </c>
      <c r="I143" s="39" t="e">
        <f>SUM(#REF!)</f>
        <v>#REF!</v>
      </c>
      <c r="J143" s="177"/>
      <c r="K143" s="177"/>
      <c r="L143" s="177"/>
      <c r="M143" s="177"/>
    </row>
    <row r="144" spans="2:13" ht="12.75">
      <c r="B144" s="49" t="s">
        <v>635</v>
      </c>
      <c r="C144" s="177"/>
      <c r="D144" s="177"/>
      <c r="E144" s="177"/>
      <c r="F144" s="177"/>
      <c r="G144" s="177"/>
      <c r="H144" s="54">
        <v>35360</v>
      </c>
      <c r="I144" s="39" t="e">
        <v>#REF!</v>
      </c>
      <c r="J144" s="177"/>
      <c r="K144" s="177"/>
      <c r="L144" s="177"/>
      <c r="M144" s="177"/>
    </row>
    <row r="145" spans="2:10" ht="12.75">
      <c r="B145" s="49" t="s">
        <v>37</v>
      </c>
      <c r="C145" s="177"/>
      <c r="D145" s="177"/>
      <c r="E145" s="177"/>
      <c r="F145" s="177"/>
      <c r="G145" s="177"/>
      <c r="H145" s="54">
        <v>251515</v>
      </c>
      <c r="I145" s="53"/>
      <c r="J145" s="177"/>
    </row>
    <row r="146" spans="2:10" ht="12.75">
      <c r="B146" s="49" t="s">
        <v>195</v>
      </c>
      <c r="C146" s="177"/>
      <c r="D146" s="177"/>
      <c r="E146" s="177"/>
      <c r="F146" s="177"/>
      <c r="G146" s="177"/>
      <c r="H146" s="54">
        <v>4888</v>
      </c>
      <c r="I146" s="53"/>
      <c r="J146" s="177"/>
    </row>
    <row r="147" spans="2:10" ht="12.75">
      <c r="B147" s="1"/>
      <c r="C147" s="177"/>
      <c r="D147" s="177"/>
      <c r="E147" s="177"/>
      <c r="F147" s="177"/>
      <c r="G147" s="177"/>
      <c r="H147" s="54"/>
      <c r="I147" s="177"/>
      <c r="J147" s="177"/>
    </row>
    <row r="148" spans="2:10" ht="12.75">
      <c r="B148" s="1" t="s">
        <v>639</v>
      </c>
      <c r="C148" s="177"/>
      <c r="D148" s="177"/>
      <c r="E148" s="177"/>
      <c r="F148" s="177"/>
      <c r="G148" s="177"/>
      <c r="H148" s="177"/>
      <c r="I148" s="177"/>
      <c r="J148" s="177"/>
    </row>
    <row r="149" spans="2:10" ht="12.75">
      <c r="B149" s="49" t="s">
        <v>634</v>
      </c>
      <c r="C149" s="1" t="s">
        <v>584</v>
      </c>
      <c r="D149" s="1" t="s">
        <v>584</v>
      </c>
      <c r="E149" s="1" t="s">
        <v>584</v>
      </c>
      <c r="F149" s="54">
        <v>696</v>
      </c>
      <c r="G149" s="54">
        <v>709</v>
      </c>
      <c r="H149" s="1">
        <v>981</v>
      </c>
      <c r="I149" s="54" t="e">
        <f>SUM(#REF!)</f>
        <v>#REF!</v>
      </c>
      <c r="J149" s="38"/>
    </row>
    <row r="150" spans="2:10" ht="12.75">
      <c r="B150" s="49" t="s">
        <v>635</v>
      </c>
      <c r="C150" s="1" t="s">
        <v>584</v>
      </c>
      <c r="D150" s="1" t="s">
        <v>584</v>
      </c>
      <c r="E150" s="1" t="s">
        <v>584</v>
      </c>
      <c r="F150" s="54">
        <v>133</v>
      </c>
      <c r="G150" s="54">
        <v>238</v>
      </c>
      <c r="H150" s="55">
        <v>269</v>
      </c>
      <c r="I150" s="54" t="e">
        <v>#REF!</v>
      </c>
      <c r="J150" s="38"/>
    </row>
    <row r="151" spans="2:10" ht="12.75">
      <c r="B151" s="49" t="s">
        <v>37</v>
      </c>
      <c r="C151" s="1" t="s">
        <v>584</v>
      </c>
      <c r="D151" s="1" t="s">
        <v>584</v>
      </c>
      <c r="E151" s="1" t="s">
        <v>584</v>
      </c>
      <c r="F151" s="54">
        <v>707</v>
      </c>
      <c r="G151" s="54">
        <v>844</v>
      </c>
      <c r="H151" s="55">
        <v>1157</v>
      </c>
      <c r="I151" s="56"/>
      <c r="J151" s="38"/>
    </row>
    <row r="152" spans="2:10" ht="12.75">
      <c r="B152" s="49" t="s">
        <v>195</v>
      </c>
      <c r="C152" s="1" t="s">
        <v>584</v>
      </c>
      <c r="D152" s="1" t="s">
        <v>584</v>
      </c>
      <c r="E152" s="1" t="s">
        <v>584</v>
      </c>
      <c r="F152" s="54">
        <v>122</v>
      </c>
      <c r="G152" s="54">
        <v>104</v>
      </c>
      <c r="H152" s="55">
        <v>21</v>
      </c>
      <c r="I152" s="56"/>
      <c r="J152" s="38"/>
    </row>
    <row r="153" spans="2:10" ht="12.75">
      <c r="B153" s="177"/>
      <c r="C153" s="177"/>
      <c r="D153" s="177"/>
      <c r="E153" s="177"/>
      <c r="F153" s="177"/>
      <c r="G153" s="177"/>
      <c r="H153" s="55"/>
      <c r="I153" s="177"/>
      <c r="J153" s="177"/>
    </row>
    <row r="154" spans="2:10" ht="12.75">
      <c r="B154" s="1" t="s">
        <v>640</v>
      </c>
      <c r="C154" s="177"/>
      <c r="D154" s="177"/>
      <c r="E154" s="177"/>
      <c r="F154" s="177"/>
      <c r="G154" s="177"/>
      <c r="H154" s="177"/>
      <c r="I154" s="177"/>
      <c r="J154" s="177"/>
    </row>
    <row r="155" spans="2:10" ht="12.75">
      <c r="B155" s="49" t="s">
        <v>634</v>
      </c>
      <c r="C155" s="1" t="s">
        <v>584</v>
      </c>
      <c r="D155" s="1" t="s">
        <v>584</v>
      </c>
      <c r="E155" s="1" t="s">
        <v>584</v>
      </c>
      <c r="F155" s="55">
        <f t="shared" ref="F155:F158" si="40">F149/F125</f>
        <v>8.3855421686746983</v>
      </c>
      <c r="G155" s="55">
        <v>9</v>
      </c>
      <c r="H155" s="1">
        <v>8.6</v>
      </c>
      <c r="I155" s="55" t="e">
        <f t="shared" ref="I155:I156" si="41">I149/I125</f>
        <v>#REF!</v>
      </c>
      <c r="J155" s="177"/>
    </row>
    <row r="156" spans="2:10" ht="12.75">
      <c r="B156" s="49" t="s">
        <v>635</v>
      </c>
      <c r="C156" s="1" t="s">
        <v>584</v>
      </c>
      <c r="D156" s="1" t="s">
        <v>584</v>
      </c>
      <c r="E156" s="1" t="s">
        <v>584</v>
      </c>
      <c r="F156" s="55">
        <f t="shared" si="40"/>
        <v>44.333333333333336</v>
      </c>
      <c r="G156" s="55">
        <v>47.6</v>
      </c>
      <c r="H156" s="55">
        <v>44.8</v>
      </c>
      <c r="I156" s="55" t="e">
        <f t="shared" si="41"/>
        <v>#REF!</v>
      </c>
      <c r="J156" s="177"/>
    </row>
    <row r="157" spans="2:10" ht="12.75">
      <c r="B157" s="49" t="s">
        <v>37</v>
      </c>
      <c r="C157" s="1" t="s">
        <v>584</v>
      </c>
      <c r="D157" s="1" t="s">
        <v>584</v>
      </c>
      <c r="E157" s="1" t="s">
        <v>584</v>
      </c>
      <c r="F157" s="55">
        <f t="shared" si="40"/>
        <v>8.7283950617283956</v>
      </c>
      <c r="G157" s="55">
        <v>11.1</v>
      </c>
      <c r="H157" s="55">
        <v>9.9</v>
      </c>
      <c r="I157" s="57"/>
      <c r="J157" s="177"/>
    </row>
    <row r="158" spans="2:10" ht="12.75">
      <c r="B158" s="49" t="s">
        <v>195</v>
      </c>
      <c r="C158" s="1" t="s">
        <v>584</v>
      </c>
      <c r="D158" s="1" t="s">
        <v>584</v>
      </c>
      <c r="E158" s="1" t="s">
        <v>584</v>
      </c>
      <c r="F158" s="55">
        <f t="shared" si="40"/>
        <v>24.4</v>
      </c>
      <c r="G158" s="55">
        <v>12.9</v>
      </c>
      <c r="H158" s="55">
        <v>10.7</v>
      </c>
      <c r="I158" s="57"/>
      <c r="J158" s="177"/>
    </row>
    <row r="159" spans="2:10" ht="12.75">
      <c r="B159" s="177"/>
      <c r="C159" s="177"/>
      <c r="D159" s="177"/>
      <c r="E159" s="177"/>
      <c r="F159" s="177"/>
      <c r="G159" s="177"/>
      <c r="H159" s="39"/>
      <c r="I159" s="177"/>
      <c r="J159" s="177"/>
    </row>
    <row r="160" spans="2:10" ht="12.75">
      <c r="B160" s="1" t="s">
        <v>641</v>
      </c>
      <c r="C160" s="177"/>
      <c r="D160" s="177"/>
      <c r="E160" s="177"/>
      <c r="F160" s="177"/>
      <c r="G160" s="177"/>
      <c r="H160" s="177"/>
      <c r="I160" s="177"/>
      <c r="J160" s="177"/>
    </row>
    <row r="161" spans="2:11" ht="12.75">
      <c r="B161" s="49" t="s">
        <v>634</v>
      </c>
      <c r="C161" s="1" t="s">
        <v>584</v>
      </c>
      <c r="D161" s="1" t="s">
        <v>584</v>
      </c>
      <c r="E161" s="1" t="s">
        <v>584</v>
      </c>
      <c r="F161" s="39">
        <f t="shared" ref="F161:F164" si="42">F131/F125</f>
        <v>24897.313253012049</v>
      </c>
      <c r="G161" s="39">
        <v>26912</v>
      </c>
      <c r="H161" s="39">
        <v>23920</v>
      </c>
      <c r="I161" s="39" t="e">
        <f t="shared" ref="I161:I162" si="43">I131/I125</f>
        <v>#REF!</v>
      </c>
      <c r="J161" s="177"/>
      <c r="K161" s="177"/>
    </row>
    <row r="162" spans="2:11" ht="12.75">
      <c r="B162" s="49" t="s">
        <v>635</v>
      </c>
      <c r="C162" s="1" t="s">
        <v>584</v>
      </c>
      <c r="D162" s="1" t="s">
        <v>584</v>
      </c>
      <c r="E162" s="1" t="s">
        <v>584</v>
      </c>
      <c r="F162" s="39">
        <f t="shared" si="42"/>
        <v>91018.666666666672</v>
      </c>
      <c r="G162" s="39">
        <v>108580</v>
      </c>
      <c r="H162" s="39">
        <v>89996</v>
      </c>
      <c r="I162" s="39" t="e">
        <f t="shared" si="43"/>
        <v>#REF!</v>
      </c>
      <c r="J162" s="177"/>
      <c r="K162" s="177"/>
    </row>
    <row r="163" spans="2:11" ht="12.75">
      <c r="B163" s="49" t="s">
        <v>37</v>
      </c>
      <c r="C163" s="1" t="s">
        <v>584</v>
      </c>
      <c r="D163" s="1" t="s">
        <v>584</v>
      </c>
      <c r="E163" s="1" t="s">
        <v>584</v>
      </c>
      <c r="F163" s="39">
        <f t="shared" si="42"/>
        <v>25302.172839506173</v>
      </c>
      <c r="G163" s="39">
        <v>31004</v>
      </c>
      <c r="H163" s="39">
        <v>25839</v>
      </c>
      <c r="I163" s="53"/>
      <c r="J163" s="177"/>
      <c r="K163" s="177"/>
    </row>
    <row r="164" spans="2:11" ht="12.75">
      <c r="B164" s="49" t="s">
        <v>195</v>
      </c>
      <c r="C164" s="1" t="s">
        <v>584</v>
      </c>
      <c r="D164" s="1" t="s">
        <v>584</v>
      </c>
      <c r="E164" s="1" t="s">
        <v>584</v>
      </c>
      <c r="F164" s="39">
        <f t="shared" si="42"/>
        <v>58011.4</v>
      </c>
      <c r="G164" s="39">
        <v>39076</v>
      </c>
      <c r="H164" s="39">
        <v>30969</v>
      </c>
      <c r="I164" s="53"/>
      <c r="J164" s="177"/>
      <c r="K164" s="177"/>
    </row>
    <row r="166" spans="2:11" ht="12.75">
      <c r="B166" s="1" t="s">
        <v>642</v>
      </c>
      <c r="C166" s="177"/>
      <c r="D166" s="177"/>
      <c r="E166" s="177"/>
      <c r="F166" s="177"/>
      <c r="G166" s="177"/>
      <c r="H166" s="177"/>
      <c r="I166" s="177"/>
      <c r="J166" s="177"/>
      <c r="K166" s="177"/>
    </row>
    <row r="167" spans="2:11" ht="12.75">
      <c r="B167" s="49" t="s">
        <v>634</v>
      </c>
      <c r="C167" s="1" t="s">
        <v>584</v>
      </c>
      <c r="D167" s="1" t="s">
        <v>584</v>
      </c>
      <c r="E167" s="1" t="s">
        <v>584</v>
      </c>
      <c r="F167" s="1" t="s">
        <v>584</v>
      </c>
      <c r="G167" s="39">
        <v>9825</v>
      </c>
      <c r="H167" s="39">
        <v>9036</v>
      </c>
      <c r="I167" s="1" t="e">
        <f t="shared" ref="I167:I168" si="44">I137/I125</f>
        <v>#REF!</v>
      </c>
      <c r="J167" s="177"/>
      <c r="K167" s="177"/>
    </row>
    <row r="168" spans="2:11" ht="12.75">
      <c r="B168" s="49" t="s">
        <v>635</v>
      </c>
      <c r="C168" s="1" t="s">
        <v>584</v>
      </c>
      <c r="D168" s="1" t="s">
        <v>584</v>
      </c>
      <c r="E168" s="1" t="s">
        <v>584</v>
      </c>
      <c r="F168" s="1" t="s">
        <v>584</v>
      </c>
      <c r="G168" s="39">
        <v>41679</v>
      </c>
      <c r="H168" s="39">
        <v>31878</v>
      </c>
      <c r="I168" s="1" t="e">
        <f t="shared" si="44"/>
        <v>#REF!</v>
      </c>
      <c r="J168" s="177"/>
      <c r="K168" s="177"/>
    </row>
    <row r="169" spans="2:11" ht="12.75">
      <c r="B169" s="49" t="s">
        <v>37</v>
      </c>
      <c r="C169" s="1" t="s">
        <v>584</v>
      </c>
      <c r="D169" s="1" t="s">
        <v>584</v>
      </c>
      <c r="E169" s="1" t="s">
        <v>584</v>
      </c>
      <c r="F169" s="1" t="s">
        <v>584</v>
      </c>
      <c r="G169" s="39">
        <v>11445</v>
      </c>
      <c r="H169" s="39">
        <v>9780</v>
      </c>
      <c r="I169" s="2"/>
      <c r="J169" s="177"/>
      <c r="K169" s="177"/>
    </row>
    <row r="170" spans="2:11" ht="12.75">
      <c r="B170" s="49" t="s">
        <v>195</v>
      </c>
      <c r="C170" s="1" t="s">
        <v>584</v>
      </c>
      <c r="D170" s="1" t="s">
        <v>584</v>
      </c>
      <c r="E170" s="1" t="s">
        <v>584</v>
      </c>
      <c r="F170" s="1" t="s">
        <v>584</v>
      </c>
      <c r="G170" s="39">
        <v>14344</v>
      </c>
      <c r="H170" s="39">
        <v>12388</v>
      </c>
      <c r="I170" s="2"/>
      <c r="J170" s="177"/>
      <c r="K170" s="177"/>
    </row>
    <row r="171" spans="2:11" ht="12.75">
      <c r="B171" s="1"/>
      <c r="C171" s="177"/>
      <c r="D171" s="177"/>
      <c r="E171" s="177"/>
      <c r="F171" s="177"/>
      <c r="G171" s="177"/>
      <c r="H171" s="177"/>
      <c r="I171" s="177"/>
      <c r="J171" s="177"/>
      <c r="K171" s="177"/>
    </row>
    <row r="172" spans="2:11" ht="12.75">
      <c r="B172" s="1" t="s">
        <v>643</v>
      </c>
      <c r="C172" s="177"/>
      <c r="D172" s="177"/>
      <c r="E172" s="177"/>
      <c r="F172" s="177"/>
      <c r="G172" s="177"/>
      <c r="H172" s="177"/>
      <c r="I172" s="177"/>
      <c r="J172" s="177"/>
      <c r="K172" s="46"/>
    </row>
    <row r="173" spans="2:11" ht="12.75">
      <c r="B173" s="49" t="s">
        <v>634</v>
      </c>
      <c r="C173" s="177"/>
      <c r="D173" s="177"/>
      <c r="E173" s="177"/>
      <c r="F173" s="177"/>
      <c r="G173" s="177"/>
      <c r="H173" s="39">
        <v>11073</v>
      </c>
      <c r="I173" s="1" t="e">
        <f t="shared" ref="I173:I174" si="45">(I137+I143)/I125</f>
        <v>#REF!</v>
      </c>
      <c r="J173" s="177"/>
      <c r="K173" s="177"/>
    </row>
    <row r="174" spans="2:11" ht="12.75">
      <c r="B174" s="49" t="s">
        <v>635</v>
      </c>
      <c r="C174" s="177"/>
      <c r="D174" s="177"/>
      <c r="E174" s="177"/>
      <c r="F174" s="177"/>
      <c r="G174" s="177"/>
      <c r="H174" s="39">
        <v>37771</v>
      </c>
      <c r="I174" s="1" t="e">
        <f t="shared" si="45"/>
        <v>#REF!</v>
      </c>
      <c r="J174" s="177"/>
      <c r="K174" s="177"/>
    </row>
    <row r="175" spans="2:11" ht="12.75">
      <c r="B175" s="49" t="s">
        <v>37</v>
      </c>
      <c r="C175" s="177"/>
      <c r="D175" s="177"/>
      <c r="E175" s="177"/>
      <c r="F175" s="177"/>
      <c r="G175" s="177"/>
      <c r="H175" s="39">
        <v>11930</v>
      </c>
      <c r="I175" s="2"/>
      <c r="J175" s="177"/>
      <c r="K175" s="177"/>
    </row>
    <row r="176" spans="2:11" ht="12.75">
      <c r="B176" s="49" t="s">
        <v>195</v>
      </c>
      <c r="C176" s="177"/>
      <c r="D176" s="177"/>
      <c r="E176" s="177"/>
      <c r="F176" s="177"/>
      <c r="G176" s="177"/>
      <c r="H176" s="39">
        <v>14832</v>
      </c>
      <c r="I176" s="2"/>
      <c r="J176" s="177"/>
      <c r="K176" s="177"/>
    </row>
    <row r="177" spans="2:10" ht="12.75">
      <c r="B177" s="1"/>
      <c r="C177" s="177"/>
      <c r="D177" s="177"/>
      <c r="E177" s="177"/>
      <c r="F177" s="177"/>
      <c r="G177" s="177"/>
      <c r="H177" s="177"/>
      <c r="I177" s="177"/>
      <c r="J177" s="177"/>
    </row>
    <row r="178" spans="2:10" ht="12.75">
      <c r="B178" s="1" t="s">
        <v>644</v>
      </c>
      <c r="C178" s="177"/>
      <c r="D178" s="177"/>
      <c r="E178" s="177"/>
      <c r="F178" s="177"/>
      <c r="G178" s="177"/>
      <c r="H178" s="177"/>
      <c r="I178" s="177"/>
      <c r="J178" s="177"/>
    </row>
    <row r="179" spans="2:10" ht="12.75">
      <c r="B179" s="49" t="s">
        <v>645</v>
      </c>
      <c r="C179" s="1" t="s">
        <v>584</v>
      </c>
      <c r="D179" s="1" t="s">
        <v>584</v>
      </c>
      <c r="E179" s="1" t="s">
        <v>584</v>
      </c>
      <c r="F179" s="1">
        <v>47</v>
      </c>
      <c r="G179" s="1">
        <v>40</v>
      </c>
      <c r="H179" s="54">
        <v>69</v>
      </c>
      <c r="I179" s="2"/>
      <c r="J179" s="38"/>
    </row>
    <row r="180" spans="2:10" ht="12.75">
      <c r="B180" s="49" t="s">
        <v>646</v>
      </c>
      <c r="C180" s="1" t="s">
        <v>584</v>
      </c>
      <c r="D180" s="1" t="s">
        <v>584</v>
      </c>
      <c r="E180" s="1" t="s">
        <v>584</v>
      </c>
      <c r="F180" s="1">
        <v>24</v>
      </c>
      <c r="G180" s="1">
        <v>22</v>
      </c>
      <c r="H180" s="54">
        <v>25</v>
      </c>
      <c r="I180" s="2"/>
      <c r="J180" s="38"/>
    </row>
    <row r="181" spans="2:10" ht="12.75">
      <c r="B181" s="49" t="s">
        <v>647</v>
      </c>
      <c r="C181" s="1" t="s">
        <v>584</v>
      </c>
      <c r="D181" s="1" t="s">
        <v>584</v>
      </c>
      <c r="E181" s="1" t="s">
        <v>584</v>
      </c>
      <c r="F181" s="1">
        <v>15</v>
      </c>
      <c r="G181" s="1">
        <v>22</v>
      </c>
      <c r="H181" s="54">
        <v>21</v>
      </c>
      <c r="I181" s="2"/>
      <c r="J181" s="38"/>
    </row>
    <row r="183" spans="2:10" ht="12.75">
      <c r="B183" s="1" t="s">
        <v>648</v>
      </c>
      <c r="C183" s="177"/>
      <c r="D183" s="177"/>
      <c r="E183" s="177"/>
      <c r="F183" s="177"/>
      <c r="G183" s="177"/>
      <c r="H183" s="177"/>
      <c r="I183" s="177"/>
      <c r="J183" s="177"/>
    </row>
    <row r="184" spans="2:10" ht="12.75">
      <c r="B184" s="49" t="s">
        <v>645</v>
      </c>
      <c r="C184" s="1" t="s">
        <v>584</v>
      </c>
      <c r="D184" s="1" t="s">
        <v>584</v>
      </c>
      <c r="E184" s="1" t="s">
        <v>584</v>
      </c>
      <c r="F184" s="39">
        <v>1068817</v>
      </c>
      <c r="G184" s="39">
        <v>992361</v>
      </c>
      <c r="H184" s="39">
        <v>1383584</v>
      </c>
      <c r="I184" s="53"/>
      <c r="J184" s="177"/>
    </row>
    <row r="185" spans="2:10" ht="12.75">
      <c r="B185" s="49" t="s">
        <v>646</v>
      </c>
      <c r="C185" s="1" t="s">
        <v>584</v>
      </c>
      <c r="D185" s="1" t="s">
        <v>584</v>
      </c>
      <c r="E185" s="1" t="s">
        <v>584</v>
      </c>
      <c r="F185" s="39">
        <v>553116</v>
      </c>
      <c r="G185" s="39">
        <v>502304</v>
      </c>
      <c r="H185" s="39">
        <v>583634</v>
      </c>
      <c r="I185" s="53"/>
      <c r="J185" s="177"/>
    </row>
    <row r="186" spans="2:10" ht="12.75">
      <c r="B186" s="49" t="s">
        <v>647</v>
      </c>
      <c r="C186" s="1" t="s">
        <v>584</v>
      </c>
      <c r="D186" s="1" t="s">
        <v>584</v>
      </c>
      <c r="E186" s="1" t="s">
        <v>584</v>
      </c>
      <c r="F186" s="39">
        <v>717600</v>
      </c>
      <c r="G186" s="39">
        <v>1174271</v>
      </c>
      <c r="H186" s="39">
        <v>899146</v>
      </c>
      <c r="I186" s="53"/>
      <c r="J186" s="177"/>
    </row>
    <row r="188" spans="2:10" ht="12.75">
      <c r="B188" s="1" t="s">
        <v>649</v>
      </c>
      <c r="C188" s="177"/>
      <c r="D188" s="177"/>
      <c r="E188" s="177"/>
      <c r="F188" s="177"/>
      <c r="G188" s="177"/>
      <c r="H188" s="177"/>
      <c r="I188" s="177"/>
      <c r="J188" s="177"/>
    </row>
    <row r="189" spans="2:10" ht="12.75">
      <c r="B189" s="49" t="s">
        <v>645</v>
      </c>
      <c r="C189" s="1" t="s">
        <v>584</v>
      </c>
      <c r="D189" s="1" t="s">
        <v>584</v>
      </c>
      <c r="E189" s="1" t="s">
        <v>584</v>
      </c>
      <c r="F189" s="1" t="s">
        <v>584</v>
      </c>
      <c r="G189" s="39">
        <v>360298</v>
      </c>
      <c r="H189" s="39">
        <v>538303</v>
      </c>
      <c r="I189" s="53"/>
      <c r="J189" s="177"/>
    </row>
    <row r="190" spans="2:10" ht="12.75">
      <c r="B190" s="49" t="s">
        <v>646</v>
      </c>
      <c r="C190" s="1" t="s">
        <v>584</v>
      </c>
      <c r="D190" s="1" t="s">
        <v>584</v>
      </c>
      <c r="E190" s="1" t="s">
        <v>584</v>
      </c>
      <c r="F190" s="1" t="s">
        <v>584</v>
      </c>
      <c r="G190" s="39">
        <v>185463</v>
      </c>
      <c r="H190" s="39">
        <v>216995</v>
      </c>
      <c r="I190" s="53"/>
      <c r="J190" s="177"/>
    </row>
    <row r="191" spans="2:10" ht="12.75">
      <c r="B191" s="49" t="s">
        <v>647</v>
      </c>
      <c r="C191" s="1" t="s">
        <v>584</v>
      </c>
      <c r="D191" s="1" t="s">
        <v>584</v>
      </c>
      <c r="E191" s="1" t="s">
        <v>584</v>
      </c>
      <c r="F191" s="1" t="s">
        <v>584</v>
      </c>
      <c r="G191" s="39">
        <v>438790</v>
      </c>
      <c r="H191" s="39">
        <v>335354</v>
      </c>
      <c r="I191" s="53"/>
      <c r="J191" s="177"/>
    </row>
    <row r="193" spans="2:10" ht="12.75">
      <c r="B193" s="1" t="s">
        <v>650</v>
      </c>
      <c r="C193" s="177"/>
      <c r="D193" s="177"/>
      <c r="E193" s="177"/>
      <c r="F193" s="177"/>
      <c r="G193" s="177"/>
      <c r="H193" s="177"/>
      <c r="I193" s="177"/>
      <c r="J193" s="177"/>
    </row>
    <row r="194" spans="2:10" ht="12.75">
      <c r="B194" s="49" t="s">
        <v>645</v>
      </c>
      <c r="C194" s="1" t="s">
        <v>584</v>
      </c>
      <c r="D194" s="1" t="s">
        <v>584</v>
      </c>
      <c r="E194" s="1" t="s">
        <v>584</v>
      </c>
      <c r="F194" s="1">
        <v>362</v>
      </c>
      <c r="G194" s="38">
        <v>346</v>
      </c>
      <c r="H194" s="42">
        <v>507</v>
      </c>
      <c r="I194" s="58"/>
      <c r="J194" s="38"/>
    </row>
    <row r="195" spans="2:10" ht="12.75">
      <c r="B195" s="49" t="s">
        <v>646</v>
      </c>
      <c r="C195" s="1" t="s">
        <v>584</v>
      </c>
      <c r="D195" s="1" t="s">
        <v>584</v>
      </c>
      <c r="E195" s="1" t="s">
        <v>584</v>
      </c>
      <c r="F195" s="1">
        <v>175</v>
      </c>
      <c r="G195" s="38">
        <v>158</v>
      </c>
      <c r="H195" s="42">
        <v>210</v>
      </c>
      <c r="I195" s="58"/>
      <c r="J195" s="38"/>
    </row>
    <row r="196" spans="2:10" ht="12.75">
      <c r="B196" s="49" t="s">
        <v>647</v>
      </c>
      <c r="C196" s="1" t="s">
        <v>584</v>
      </c>
      <c r="D196" s="1" t="s">
        <v>584</v>
      </c>
      <c r="E196" s="1" t="s">
        <v>584</v>
      </c>
      <c r="F196" s="1">
        <v>291</v>
      </c>
      <c r="G196" s="38">
        <v>444</v>
      </c>
      <c r="H196" s="42">
        <v>336</v>
      </c>
      <c r="I196" s="58"/>
      <c r="J196" s="38"/>
    </row>
    <row r="198" spans="2:10" ht="12.75">
      <c r="B198" s="1" t="s">
        <v>651</v>
      </c>
      <c r="C198" s="177"/>
      <c r="D198" s="177"/>
      <c r="E198" s="177"/>
      <c r="F198" s="177"/>
      <c r="G198" s="177"/>
      <c r="H198" s="177"/>
      <c r="I198" s="177"/>
      <c r="J198" s="177"/>
    </row>
    <row r="199" spans="2:10" ht="12.75">
      <c r="B199" s="49" t="s">
        <v>645</v>
      </c>
      <c r="C199" s="1" t="s">
        <v>584</v>
      </c>
      <c r="D199" s="1" t="s">
        <v>584</v>
      </c>
      <c r="E199" s="1" t="s">
        <v>584</v>
      </c>
      <c r="F199" s="42">
        <f t="shared" ref="F199:F201" si="46">F194/F179</f>
        <v>7.7021276595744679</v>
      </c>
      <c r="G199" s="42">
        <v>8.6999999999999993</v>
      </c>
      <c r="H199" s="1">
        <v>7.3</v>
      </c>
      <c r="I199" s="59"/>
      <c r="J199" s="177"/>
    </row>
    <row r="200" spans="2:10" ht="12.75">
      <c r="B200" s="49" t="s">
        <v>646</v>
      </c>
      <c r="C200" s="1" t="s">
        <v>584</v>
      </c>
      <c r="D200" s="1" t="s">
        <v>584</v>
      </c>
      <c r="E200" s="1" t="s">
        <v>584</v>
      </c>
      <c r="F200" s="42">
        <f t="shared" si="46"/>
        <v>7.291666666666667</v>
      </c>
      <c r="G200" s="42">
        <v>7.2</v>
      </c>
      <c r="H200" s="1">
        <v>8.4</v>
      </c>
      <c r="I200" s="59"/>
      <c r="J200" s="177"/>
    </row>
    <row r="201" spans="2:10" ht="12.75">
      <c r="B201" s="49" t="s">
        <v>647</v>
      </c>
      <c r="C201" s="1" t="s">
        <v>584</v>
      </c>
      <c r="D201" s="1" t="s">
        <v>584</v>
      </c>
      <c r="E201" s="1" t="s">
        <v>584</v>
      </c>
      <c r="F201" s="42">
        <f t="shared" si="46"/>
        <v>19.399999999999999</v>
      </c>
      <c r="G201" s="42">
        <v>20.2</v>
      </c>
      <c r="H201" s="1">
        <v>16</v>
      </c>
      <c r="I201" s="59"/>
      <c r="J201" s="177"/>
    </row>
    <row r="203" spans="2:10" ht="12.75">
      <c r="B203" s="1" t="s">
        <v>652</v>
      </c>
      <c r="C203" s="177"/>
      <c r="D203" s="177"/>
      <c r="E203" s="177"/>
      <c r="F203" s="177"/>
      <c r="G203" s="177"/>
      <c r="H203" s="177"/>
      <c r="I203" s="177"/>
      <c r="J203" s="177"/>
    </row>
    <row r="204" spans="2:10" ht="12.75">
      <c r="B204" s="49" t="s">
        <v>645</v>
      </c>
      <c r="C204" s="1" t="s">
        <v>584</v>
      </c>
      <c r="D204" s="1" t="s">
        <v>584</v>
      </c>
      <c r="E204" s="1" t="s">
        <v>584</v>
      </c>
      <c r="F204" s="39">
        <f t="shared" ref="F204:F206" si="47">F184/F179</f>
        <v>22740.787234042553</v>
      </c>
      <c r="G204" s="39">
        <v>24809</v>
      </c>
      <c r="H204" s="39">
        <v>20052</v>
      </c>
      <c r="I204" s="2"/>
      <c r="J204" s="177"/>
    </row>
    <row r="205" spans="2:10" ht="12.75">
      <c r="B205" s="49" t="s">
        <v>646</v>
      </c>
      <c r="C205" s="1" t="s">
        <v>584</v>
      </c>
      <c r="D205" s="1" t="s">
        <v>584</v>
      </c>
      <c r="E205" s="1" t="s">
        <v>584</v>
      </c>
      <c r="F205" s="39">
        <f t="shared" si="47"/>
        <v>23046.5</v>
      </c>
      <c r="G205" s="39">
        <v>22832</v>
      </c>
      <c r="H205" s="39">
        <v>23345</v>
      </c>
      <c r="I205" s="2"/>
      <c r="J205" s="177"/>
    </row>
    <row r="206" spans="2:10" ht="12.75">
      <c r="B206" s="49" t="s">
        <v>647</v>
      </c>
      <c r="C206" s="1" t="s">
        <v>584</v>
      </c>
      <c r="D206" s="1" t="s">
        <v>584</v>
      </c>
      <c r="E206" s="1" t="s">
        <v>584</v>
      </c>
      <c r="F206" s="39">
        <f t="shared" si="47"/>
        <v>47840</v>
      </c>
      <c r="G206" s="39">
        <v>53376</v>
      </c>
      <c r="H206" s="39">
        <v>42816</v>
      </c>
      <c r="I206" s="2"/>
      <c r="J206" s="177"/>
    </row>
    <row r="208" spans="2:10" ht="12.75">
      <c r="B208" s="1" t="s">
        <v>653</v>
      </c>
      <c r="C208" s="177"/>
      <c r="D208" s="177"/>
      <c r="E208" s="177"/>
      <c r="F208" s="177"/>
      <c r="G208" s="177"/>
      <c r="H208" s="177"/>
      <c r="I208" s="177"/>
      <c r="J208" s="177"/>
    </row>
    <row r="209" spans="2:9" ht="12.75">
      <c r="B209" s="49" t="s">
        <v>645</v>
      </c>
      <c r="C209" s="1" t="s">
        <v>584</v>
      </c>
      <c r="D209" s="1" t="s">
        <v>584</v>
      </c>
      <c r="E209" s="1" t="s">
        <v>584</v>
      </c>
      <c r="F209" s="1" t="s">
        <v>584</v>
      </c>
      <c r="G209" s="39">
        <v>9007</v>
      </c>
      <c r="H209" s="39">
        <v>7801</v>
      </c>
      <c r="I209" s="2"/>
    </row>
    <row r="210" spans="2:9" ht="12.75">
      <c r="B210" s="49" t="s">
        <v>646</v>
      </c>
      <c r="C210" s="1" t="s">
        <v>584</v>
      </c>
      <c r="D210" s="1" t="s">
        <v>584</v>
      </c>
      <c r="E210" s="1" t="s">
        <v>584</v>
      </c>
      <c r="F210" s="1" t="s">
        <v>584</v>
      </c>
      <c r="G210" s="39">
        <v>8430</v>
      </c>
      <c r="H210" s="39">
        <v>8680</v>
      </c>
      <c r="I210" s="2"/>
    </row>
    <row r="211" spans="2:9" ht="12.75">
      <c r="B211" s="49" t="s">
        <v>647</v>
      </c>
      <c r="C211" s="1" t="s">
        <v>584</v>
      </c>
      <c r="D211" s="1" t="s">
        <v>584</v>
      </c>
      <c r="E211" s="1" t="s">
        <v>584</v>
      </c>
      <c r="F211" s="1" t="s">
        <v>584</v>
      </c>
      <c r="G211" s="39">
        <v>19945</v>
      </c>
      <c r="H211" s="39">
        <v>15969</v>
      </c>
      <c r="I211" s="2"/>
    </row>
    <row r="214" spans="2:9" ht="12.75">
      <c r="B214" s="177"/>
      <c r="C214" s="177"/>
      <c r="D214" s="177"/>
      <c r="E214" s="177"/>
      <c r="F214" s="177"/>
      <c r="G214" s="177"/>
      <c r="H214" s="48"/>
      <c r="I214" s="177"/>
    </row>
    <row r="215" spans="2:9" ht="12.75">
      <c r="B215" s="177"/>
      <c r="C215" s="177"/>
      <c r="D215" s="177"/>
      <c r="E215" s="177"/>
      <c r="F215" s="177"/>
      <c r="G215" s="177"/>
      <c r="H215" s="48"/>
      <c r="I215" s="177"/>
    </row>
    <row r="216" spans="2:9" ht="12.75">
      <c r="B216" s="60" t="s">
        <v>654</v>
      </c>
      <c r="C216" s="177"/>
      <c r="D216" s="177"/>
      <c r="E216" s="1">
        <v>55</v>
      </c>
      <c r="F216" s="61">
        <v>62</v>
      </c>
      <c r="G216" s="1">
        <v>53</v>
      </c>
      <c r="H216" s="1">
        <v>83</v>
      </c>
      <c r="I216" s="1" t="e">
        <v>#VALUE!</v>
      </c>
    </row>
    <row r="217" spans="2:9" ht="12.75">
      <c r="B217" s="60" t="s">
        <v>655</v>
      </c>
      <c r="C217" s="177"/>
      <c r="D217" s="177"/>
      <c r="E217" s="1">
        <v>22</v>
      </c>
      <c r="F217" s="61">
        <v>17</v>
      </c>
      <c r="G217" s="1">
        <v>20</v>
      </c>
      <c r="H217" s="1">
        <v>27</v>
      </c>
      <c r="I217" s="1" t="e">
        <v>#VALUE!</v>
      </c>
    </row>
    <row r="218" spans="2:9" ht="12.75">
      <c r="B218" s="60" t="s">
        <v>656</v>
      </c>
      <c r="C218" s="177"/>
      <c r="D218" s="177"/>
      <c r="E218" s="1">
        <v>11</v>
      </c>
      <c r="F218" s="61">
        <v>5</v>
      </c>
      <c r="G218" s="1">
        <v>11</v>
      </c>
      <c r="H218" s="1">
        <v>17</v>
      </c>
      <c r="I218" s="1" t="e">
        <v>#VALUE!</v>
      </c>
    </row>
    <row r="219" spans="2:9" ht="12.75">
      <c r="B219" s="60" t="s">
        <v>657</v>
      </c>
      <c r="C219" s="177"/>
      <c r="D219" s="177"/>
      <c r="E219" s="48">
        <v>0.67900000000000005</v>
      </c>
      <c r="F219" s="62">
        <v>0.72089999999999999</v>
      </c>
      <c r="G219" s="48">
        <v>0.63100000000000001</v>
      </c>
      <c r="H219" s="48">
        <v>0.65869999999999995</v>
      </c>
      <c r="I219" s="48" t="e">
        <f t="shared" ref="I219:I220" si="48">I216/$I$4</f>
        <v>#VALUE!</v>
      </c>
    </row>
    <row r="220" spans="2:9" ht="12.75">
      <c r="B220" s="60" t="s">
        <v>658</v>
      </c>
      <c r="C220" s="177"/>
      <c r="D220" s="177"/>
      <c r="E220" s="48">
        <v>0.27160000000000001</v>
      </c>
      <c r="F220" s="62">
        <v>0.19769999999999999</v>
      </c>
      <c r="G220" s="48">
        <v>0.23799999999999999</v>
      </c>
      <c r="H220" s="48">
        <v>0.21429999999999999</v>
      </c>
      <c r="I220" s="48" t="e">
        <f t="shared" si="48"/>
        <v>#VALUE!</v>
      </c>
    </row>
    <row r="221" spans="2:9" ht="12.75">
      <c r="B221" s="60" t="s">
        <v>659</v>
      </c>
      <c r="C221" s="177"/>
      <c r="D221" s="177"/>
      <c r="E221" s="48">
        <v>0.5</v>
      </c>
      <c r="F221" s="62">
        <v>0.29409999999999997</v>
      </c>
      <c r="G221" s="48">
        <v>0.55000000000000004</v>
      </c>
      <c r="H221" s="48">
        <v>0.62960000000000005</v>
      </c>
      <c r="I221" s="48" t="e">
        <f>I218/I217</f>
        <v>#VALUE!</v>
      </c>
    </row>
    <row r="222" spans="2:9" ht="12.75">
      <c r="B222" s="60" t="s">
        <v>660</v>
      </c>
      <c r="C222" s="177"/>
      <c r="D222" s="177"/>
      <c r="E222" s="48">
        <v>0.1358</v>
      </c>
      <c r="F222" s="62">
        <v>5.8099999999999999E-2</v>
      </c>
      <c r="G222" s="48">
        <v>0.13100000000000001</v>
      </c>
      <c r="H222" s="48">
        <v>0.13489999999999999</v>
      </c>
      <c r="I222" s="48" t="e">
        <f>I218/I4</f>
        <v>#VALUE!</v>
      </c>
    </row>
    <row r="223" spans="2:9" ht="12.75">
      <c r="B223" s="60" t="s">
        <v>661</v>
      </c>
      <c r="C223" s="177"/>
      <c r="D223" s="177"/>
      <c r="E223" s="48">
        <v>0.35799999999999998</v>
      </c>
      <c r="F223" s="48">
        <v>0.40699999999999997</v>
      </c>
      <c r="G223" s="48">
        <v>0.26190000000000002</v>
      </c>
      <c r="H223" s="48">
        <v>0.51349999999999996</v>
      </c>
      <c r="I223" s="48" t="e">
        <v>#REF!</v>
      </c>
    </row>
  </sheetData>
  <mergeCells count="1">
    <mergeCell ref="C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AR126"/>
  <sheetViews>
    <sheetView workbookViewId="0">
      <pane xSplit="6" topLeftCell="G1" activePane="topRight" state="frozen"/>
      <selection pane="topRight" activeCell="H2" sqref="H2"/>
    </sheetView>
  </sheetViews>
  <sheetFormatPr defaultColWidth="12.5703125" defaultRowHeight="15.75" customHeight="1"/>
  <cols>
    <col min="1" max="1" width="2.7109375" customWidth="1"/>
    <col min="2" max="3" width="12.5703125" hidden="1"/>
    <col min="4" max="4" width="6" hidden="1" customWidth="1"/>
    <col min="5" max="5" width="12.5703125" hidden="1"/>
    <col min="7" max="7" width="14.140625" hidden="1" customWidth="1"/>
    <col min="8" max="28" width="14.140625" customWidth="1"/>
    <col min="29" max="29" width="15.85546875" customWidth="1"/>
    <col min="32" max="32" width="15.5703125" customWidth="1"/>
    <col min="33" max="33" width="1.42578125" customWidth="1"/>
    <col min="37" max="37" width="1.42578125" customWidth="1"/>
    <col min="41" max="41" width="1.42578125" customWidth="1"/>
  </cols>
  <sheetData>
    <row r="2" spans="2:44" ht="18">
      <c r="B2" s="177"/>
      <c r="C2" s="177"/>
      <c r="D2" s="63"/>
      <c r="E2" s="63"/>
      <c r="F2" s="63"/>
      <c r="G2" s="35"/>
      <c r="H2" s="209" t="s">
        <v>662</v>
      </c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6"/>
    </row>
    <row r="3" spans="2:44" ht="12.75">
      <c r="B3" s="177"/>
      <c r="C3" s="177"/>
      <c r="D3" s="63"/>
      <c r="E3" s="63"/>
      <c r="F3" s="63"/>
      <c r="G3" s="35"/>
      <c r="H3" s="212" t="s">
        <v>663</v>
      </c>
      <c r="I3" s="205"/>
      <c r="J3" s="206"/>
      <c r="K3" s="211" t="s">
        <v>664</v>
      </c>
      <c r="L3" s="205"/>
      <c r="M3" s="213"/>
      <c r="N3" s="211" t="s">
        <v>665</v>
      </c>
      <c r="O3" s="205"/>
      <c r="P3" s="205"/>
      <c r="Q3" s="205"/>
      <c r="R3" s="213"/>
      <c r="S3" s="211" t="s">
        <v>666</v>
      </c>
      <c r="T3" s="205"/>
      <c r="U3" s="205"/>
      <c r="V3" s="205"/>
      <c r="W3" s="213"/>
      <c r="X3" s="211" t="s">
        <v>667</v>
      </c>
      <c r="Y3" s="205"/>
      <c r="Z3" s="213"/>
      <c r="AA3" s="211" t="s">
        <v>668</v>
      </c>
      <c r="AB3" s="205"/>
      <c r="AC3" s="213"/>
      <c r="AD3" s="211" t="s">
        <v>669</v>
      </c>
      <c r="AE3" s="205"/>
      <c r="AF3" s="206"/>
      <c r="AG3" s="177"/>
      <c r="AH3" s="212" t="s">
        <v>670</v>
      </c>
      <c r="AI3" s="205"/>
      <c r="AJ3" s="206"/>
      <c r="AK3" s="40"/>
      <c r="AL3" s="212" t="s">
        <v>671</v>
      </c>
      <c r="AM3" s="205"/>
      <c r="AN3" s="206"/>
      <c r="AO3" s="177"/>
      <c r="AP3" s="212" t="s">
        <v>672</v>
      </c>
      <c r="AQ3" s="205"/>
      <c r="AR3" s="206"/>
    </row>
    <row r="4" spans="2:44" ht="89.25">
      <c r="B4" s="177"/>
      <c r="C4" s="177"/>
      <c r="D4" s="63"/>
      <c r="E4" s="63"/>
      <c r="F4" s="64" t="s">
        <v>673</v>
      </c>
      <c r="G4" s="65" t="s">
        <v>674</v>
      </c>
      <c r="H4" s="66" t="s">
        <v>675</v>
      </c>
      <c r="I4" s="67" t="s">
        <v>676</v>
      </c>
      <c r="J4" s="68" t="s">
        <v>677</v>
      </c>
      <c r="K4" s="69" t="s">
        <v>675</v>
      </c>
      <c r="L4" s="67" t="s">
        <v>676</v>
      </c>
      <c r="M4" s="68" t="s">
        <v>677</v>
      </c>
      <c r="N4" s="70" t="s">
        <v>678</v>
      </c>
      <c r="O4" s="71" t="s">
        <v>679</v>
      </c>
      <c r="P4" s="71" t="s">
        <v>680</v>
      </c>
      <c r="Q4" s="71" t="s">
        <v>681</v>
      </c>
      <c r="R4" s="68" t="s">
        <v>682</v>
      </c>
      <c r="S4" s="70" t="s">
        <v>683</v>
      </c>
      <c r="T4" s="71" t="s">
        <v>684</v>
      </c>
      <c r="U4" s="71" t="s">
        <v>685</v>
      </c>
      <c r="V4" s="71" t="s">
        <v>686</v>
      </c>
      <c r="W4" s="68" t="s">
        <v>687</v>
      </c>
      <c r="X4" s="72" t="s">
        <v>688</v>
      </c>
      <c r="Y4" s="73" t="s">
        <v>581</v>
      </c>
      <c r="Z4" s="68" t="s">
        <v>689</v>
      </c>
      <c r="AA4" s="72" t="s">
        <v>688</v>
      </c>
      <c r="AB4" s="73" t="s">
        <v>581</v>
      </c>
      <c r="AC4" s="68" t="s">
        <v>689</v>
      </c>
      <c r="AD4" s="74" t="s">
        <v>688</v>
      </c>
      <c r="AE4" s="73" t="s">
        <v>581</v>
      </c>
      <c r="AF4" s="71" t="s">
        <v>689</v>
      </c>
      <c r="AG4" s="177"/>
      <c r="AH4" s="73" t="s">
        <v>675</v>
      </c>
      <c r="AI4" s="73" t="s">
        <v>676</v>
      </c>
      <c r="AJ4" s="71" t="s">
        <v>677</v>
      </c>
      <c r="AK4" s="36"/>
      <c r="AL4" s="73" t="s">
        <v>688</v>
      </c>
      <c r="AM4" s="73" t="s">
        <v>581</v>
      </c>
      <c r="AN4" s="71" t="s">
        <v>689</v>
      </c>
      <c r="AO4" s="177"/>
      <c r="AP4" s="73" t="s">
        <v>688</v>
      </c>
      <c r="AQ4" s="73" t="s">
        <v>581</v>
      </c>
      <c r="AR4" s="71" t="s">
        <v>689</v>
      </c>
    </row>
    <row r="5" spans="2:44" ht="12.75">
      <c r="B5" s="1" t="s">
        <v>690</v>
      </c>
      <c r="C5" s="1" t="s">
        <v>691</v>
      </c>
      <c r="D5" s="61">
        <v>0</v>
      </c>
      <c r="E5" s="178" t="str">
        <f t="shared" ref="E5:E18" si="0">CONCATENATE(LEFT(B5,FIND("&gt;=",B5) + 1),RIGHT(C5,LEN(C5) - (FIND("&lt;",C5))))</f>
        <v>&gt;=1/1/24</v>
      </c>
      <c r="F5" s="75">
        <v>2023</v>
      </c>
      <c r="G5" s="76" t="s">
        <v>396</v>
      </c>
      <c r="H5" s="77"/>
      <c r="I5" s="77"/>
      <c r="J5" s="78"/>
      <c r="K5" s="79" t="e">
        <f t="shared" ref="K5:K18" si="1">COUNTIFS(#REF!,$B5,#REF!,$C5)</f>
        <v>#REF!</v>
      </c>
      <c r="L5" s="80" t="e">
        <f>SUMIFS(#REF!,#REF!,$B5,#REF!,$C5)</f>
        <v>#REF!</v>
      </c>
      <c r="M5" s="81" t="e">
        <f t="shared" ref="M5:M18" si="2">SUMIFS(#REF!,#REF!,$B5,#REF!,$C5)</f>
        <v>#REF!</v>
      </c>
      <c r="N5" s="79" t="e">
        <f t="shared" ref="N5:O5" si="3">COUNTIFS(#REF!,$B5,#REF!,$C5)</f>
        <v>#REF!</v>
      </c>
      <c r="O5" s="76" t="e">
        <f t="shared" si="3"/>
        <v>#REF!</v>
      </c>
      <c r="P5" s="76" t="e">
        <f t="shared" ref="P5:P17" ca="1" si="4">IF(MONTH(TODAY())&gt;=$D5,COUNTIFS(#REF!,$C5)-COUNTIFS(#REF!,$C5),"")</f>
        <v>#REF!</v>
      </c>
      <c r="Q5" s="76">
        <v>0</v>
      </c>
      <c r="R5" s="82" t="e">
        <f t="shared" ref="R5:R17" ca="1" si="5">IF(MONTH(TODAY())&gt;=$D5,COUNTIFS(#REF!,$C5)-COUNTIFS(#REF!,$C5),"")</f>
        <v>#REF!</v>
      </c>
      <c r="S5" s="79" t="e">
        <f t="shared" ref="S5:T5" si="6">COUNTIFS(#REF!,$B5,#REF!,$C5)</f>
        <v>#REF!</v>
      </c>
      <c r="T5" s="76" t="e">
        <f t="shared" si="6"/>
        <v>#REF!</v>
      </c>
      <c r="U5" s="76" t="e">
        <f t="shared" ref="U5:U17" ca="1" si="7">IF(MONTH(TODAY())&gt;=$D5,COUNTIFS(#REF!,$C5)-COUNTIFS(#REF!,$C5),"")</f>
        <v>#REF!</v>
      </c>
      <c r="V5" s="76">
        <v>0</v>
      </c>
      <c r="W5" s="82" t="e">
        <f t="shared" ref="W5:W17" ca="1" si="8">IF(MONTH(TODAY())&gt;=$D5,COUNTIFS(#REF!,$C5)-COUNTIFS(#REF!,$C5),"")</f>
        <v>#REF!</v>
      </c>
      <c r="X5" s="83"/>
      <c r="Y5" s="77"/>
      <c r="Z5" s="84"/>
      <c r="AA5" s="85" t="e">
        <f t="shared" ref="AA5:AA18" si="9">COUNTIFS(#REF!,$B5,#REF!,$C5)</f>
        <v>#REF!</v>
      </c>
      <c r="AB5" s="79" t="e">
        <f>SUMIFS(#REF!,#REF!,$B5,#REF!,$C5)</f>
        <v>#REF!</v>
      </c>
      <c r="AC5" s="81" t="e">
        <f t="shared" ref="AC5:AC18" si="10">SUMIFS(#REF!,#REF!,$B5,#REF!,$C5)</f>
        <v>#REF!</v>
      </c>
      <c r="AD5" s="83"/>
      <c r="AE5" s="77"/>
      <c r="AF5" s="86"/>
      <c r="AG5" s="177"/>
      <c r="AH5" s="77"/>
      <c r="AI5" s="77"/>
      <c r="AJ5" s="77"/>
      <c r="AK5" s="177"/>
      <c r="AL5" s="77"/>
      <c r="AM5" s="77"/>
      <c r="AN5" s="77"/>
      <c r="AO5" s="177"/>
      <c r="AP5" s="76" t="e">
        <f t="shared" ref="AP5:AR5" ca="1" si="11">IF(MONTH(TODAY())&gt;=$D5,AD5-AA5,"")</f>
        <v>#REF!</v>
      </c>
      <c r="AQ5" s="76" t="e">
        <f t="shared" ca="1" si="11"/>
        <v>#REF!</v>
      </c>
      <c r="AR5" s="76" t="e">
        <f t="shared" ca="1" si="11"/>
        <v>#REF!</v>
      </c>
    </row>
    <row r="6" spans="2:44" ht="12.75">
      <c r="B6" s="1" t="s">
        <v>692</v>
      </c>
      <c r="C6" s="1" t="s">
        <v>693</v>
      </c>
      <c r="D6" s="60">
        <v>1</v>
      </c>
      <c r="E6" s="60" t="str">
        <f t="shared" si="0"/>
        <v>&gt;=2/1/24</v>
      </c>
      <c r="F6" s="87" t="s">
        <v>694</v>
      </c>
      <c r="G6" s="88">
        <f t="shared" ref="G6:G17" si="12">J6/$J$19</f>
        <v>6.0299999999999999E-2</v>
      </c>
      <c r="H6" s="89">
        <f t="shared" ref="H6:I6" si="13">H55+H95</f>
        <v>6</v>
      </c>
      <c r="I6" s="89">
        <f t="shared" si="13"/>
        <v>101.65917339014611</v>
      </c>
      <c r="J6" s="90">
        <v>211050</v>
      </c>
      <c r="K6" s="79" t="e">
        <f t="shared" si="1"/>
        <v>#REF!</v>
      </c>
      <c r="L6" s="80" t="e">
        <f>SUMIFS(#REF!,#REF!,$B6,#REF!,$C6)</f>
        <v>#REF!</v>
      </c>
      <c r="M6" s="81" t="e">
        <f t="shared" si="2"/>
        <v>#REF!</v>
      </c>
      <c r="N6" s="79" t="e">
        <f t="shared" ref="N6:O6" si="14">COUNTIFS(#REF!,$B6,#REF!,$C6)</f>
        <v>#REF!</v>
      </c>
      <c r="O6" s="76" t="e">
        <f t="shared" si="14"/>
        <v>#REF!</v>
      </c>
      <c r="P6" s="76" t="e">
        <f t="shared" ca="1" si="4"/>
        <v>#REF!</v>
      </c>
      <c r="Q6" s="76">
        <v>0</v>
      </c>
      <c r="R6" s="82" t="e">
        <f t="shared" ca="1" si="5"/>
        <v>#REF!</v>
      </c>
      <c r="S6" s="79" t="e">
        <f t="shared" ref="S6:T6" si="15">COUNTIFS(#REF!,$B6,#REF!,$C6)</f>
        <v>#REF!</v>
      </c>
      <c r="T6" s="76" t="e">
        <f t="shared" si="15"/>
        <v>#REF!</v>
      </c>
      <c r="U6" s="76" t="e">
        <f t="shared" ca="1" si="7"/>
        <v>#REF!</v>
      </c>
      <c r="V6" s="76">
        <v>0</v>
      </c>
      <c r="W6" s="82" t="e">
        <f t="shared" ca="1" si="8"/>
        <v>#REF!</v>
      </c>
      <c r="X6" s="91">
        <v>4</v>
      </c>
      <c r="Y6" s="92">
        <f t="shared" ref="Y6:Z6" si="16">Y55+Y95</f>
        <v>40</v>
      </c>
      <c r="Z6" s="93">
        <f t="shared" si="16"/>
        <v>111072.41942857145</v>
      </c>
      <c r="AA6" s="85" t="e">
        <f t="shared" si="9"/>
        <v>#REF!</v>
      </c>
      <c r="AB6" s="79" t="e">
        <f>SUMIFS(#REF!,#REF!,$B6,#REF!,$C6)</f>
        <v>#REF!</v>
      </c>
      <c r="AC6" s="81" t="e">
        <f t="shared" si="10"/>
        <v>#REF!</v>
      </c>
      <c r="AD6" s="79" t="e">
        <f t="shared" ref="AD6:AD17" si="17">COUNTIFS(#REF!,$B6,#REF!,$C6)</f>
        <v>#REF!</v>
      </c>
      <c r="AE6" s="76" t="e">
        <f>SUMIFS(#REF!,#REF!,$B6,#REF!,$C6)</f>
        <v>#REF!</v>
      </c>
      <c r="AF6" s="94" t="e">
        <f t="shared" ref="AF6:AF17" si="18">SUMIFS(#REF!,#REF!,$B6,#REF!,$C6)</f>
        <v>#REF!</v>
      </c>
      <c r="AG6" s="177"/>
      <c r="AH6" s="95" t="e">
        <f t="shared" ref="AH6:AJ6" ca="1" si="19">IF(MONTH(TODAY())&gt;=$D6,K6-H6,"")</f>
        <v>#REF!</v>
      </c>
      <c r="AI6" s="76" t="e">
        <f t="shared" ca="1" si="19"/>
        <v>#REF!</v>
      </c>
      <c r="AJ6" s="76" t="e">
        <f t="shared" ca="1" si="19"/>
        <v>#REF!</v>
      </c>
      <c r="AK6" s="177"/>
      <c r="AL6" s="76" t="e">
        <f t="shared" ref="AL6:AN6" ca="1" si="20">IF(MONTH(TODAY())&gt;=$D6,AD6-X6,"")</f>
        <v>#REF!</v>
      </c>
      <c r="AM6" s="76" t="e">
        <f t="shared" ca="1" si="20"/>
        <v>#REF!</v>
      </c>
      <c r="AN6" s="76" t="e">
        <f t="shared" ca="1" si="20"/>
        <v>#REF!</v>
      </c>
      <c r="AO6" s="177"/>
      <c r="AP6" s="76" t="e">
        <f t="shared" ref="AP6:AR6" ca="1" si="21">IF(MONTH(TODAY())&gt;=$D6,AD6-AA6,"")</f>
        <v>#REF!</v>
      </c>
      <c r="AQ6" s="76" t="e">
        <f t="shared" ca="1" si="21"/>
        <v>#REF!</v>
      </c>
      <c r="AR6" s="76" t="e">
        <f t="shared" ca="1" si="21"/>
        <v>#REF!</v>
      </c>
    </row>
    <row r="7" spans="2:44" ht="12.75">
      <c r="B7" s="1" t="s">
        <v>695</v>
      </c>
      <c r="C7" s="1" t="s">
        <v>696</v>
      </c>
      <c r="D7" s="60">
        <v>2</v>
      </c>
      <c r="E7" s="60" t="str">
        <f t="shared" si="0"/>
        <v>&gt;=3/1/24</v>
      </c>
      <c r="F7" s="87" t="s">
        <v>697</v>
      </c>
      <c r="G7" s="88">
        <f t="shared" si="12"/>
        <v>5.4699999999999999E-2</v>
      </c>
      <c r="H7" s="89">
        <f t="shared" ref="H7:I7" si="22">H56+H96</f>
        <v>6</v>
      </c>
      <c r="I7" s="89">
        <f t="shared" si="22"/>
        <v>94.600469941870259</v>
      </c>
      <c r="J7" s="90">
        <v>191450</v>
      </c>
      <c r="K7" s="79" t="e">
        <f t="shared" si="1"/>
        <v>#REF!</v>
      </c>
      <c r="L7" s="80" t="e">
        <f>SUMIFS(#REF!,#REF!,$B7,#REF!,$C7)</f>
        <v>#REF!</v>
      </c>
      <c r="M7" s="81" t="e">
        <f t="shared" si="2"/>
        <v>#REF!</v>
      </c>
      <c r="N7" s="79" t="e">
        <f t="shared" ref="N7:O7" si="23">COUNTIFS(#REF!,$B7,#REF!,$C7)</f>
        <v>#REF!</v>
      </c>
      <c r="O7" s="76" t="e">
        <f t="shared" si="23"/>
        <v>#REF!</v>
      </c>
      <c r="P7" s="76" t="e">
        <f t="shared" ca="1" si="4"/>
        <v>#REF!</v>
      </c>
      <c r="Q7" s="76" t="s">
        <v>698</v>
      </c>
      <c r="R7" s="82" t="e">
        <f t="shared" ca="1" si="5"/>
        <v>#REF!</v>
      </c>
      <c r="S7" s="79" t="e">
        <f t="shared" ref="S7:T7" si="24">COUNTIFS(#REF!,$B7,#REF!,$C7)</f>
        <v>#REF!</v>
      </c>
      <c r="T7" s="76" t="e">
        <f t="shared" si="24"/>
        <v>#REF!</v>
      </c>
      <c r="U7" s="76" t="e">
        <f t="shared" ca="1" si="7"/>
        <v>#REF!</v>
      </c>
      <c r="V7" s="76" t="s">
        <v>698</v>
      </c>
      <c r="W7" s="82" t="e">
        <f t="shared" ca="1" si="8"/>
        <v>#REF!</v>
      </c>
      <c r="X7" s="91">
        <v>2</v>
      </c>
      <c r="Y7" s="92">
        <f t="shared" ref="Y7:Z7" si="25">Y56+Y96</f>
        <v>20</v>
      </c>
      <c r="Z7" s="93">
        <f t="shared" si="25"/>
        <v>55536.209714285724</v>
      </c>
      <c r="AA7" s="85" t="e">
        <f t="shared" si="9"/>
        <v>#REF!</v>
      </c>
      <c r="AB7" s="79" t="e">
        <f>SUMIFS(#REF!,#REF!,$B7,#REF!,$C7)</f>
        <v>#REF!</v>
      </c>
      <c r="AC7" s="81" t="e">
        <f t="shared" si="10"/>
        <v>#REF!</v>
      </c>
      <c r="AD7" s="79" t="e">
        <f t="shared" si="17"/>
        <v>#REF!</v>
      </c>
      <c r="AE7" s="76" t="e">
        <f>SUMIFS(#REF!,#REF!,$B7,#REF!,$C7)</f>
        <v>#REF!</v>
      </c>
      <c r="AF7" s="94" t="e">
        <f t="shared" si="18"/>
        <v>#REF!</v>
      </c>
      <c r="AG7" s="177"/>
      <c r="AH7" s="95" t="e">
        <f t="shared" ref="AH7:AJ7" ca="1" si="26">IF(MONTH(TODAY())&gt;=$D7,K7-H7,"")</f>
        <v>#REF!</v>
      </c>
      <c r="AI7" s="76" t="e">
        <f t="shared" ca="1" si="26"/>
        <v>#REF!</v>
      </c>
      <c r="AJ7" s="76" t="e">
        <f t="shared" ca="1" si="26"/>
        <v>#REF!</v>
      </c>
      <c r="AK7" s="177"/>
      <c r="AL7" s="76" t="e">
        <f t="shared" ref="AL7:AN7" ca="1" si="27">IF(MONTH(TODAY())&gt;=$D7,AD7-X7,"")</f>
        <v>#REF!</v>
      </c>
      <c r="AM7" s="76" t="e">
        <f t="shared" ca="1" si="27"/>
        <v>#REF!</v>
      </c>
      <c r="AN7" s="76" t="e">
        <f t="shared" ca="1" si="27"/>
        <v>#REF!</v>
      </c>
      <c r="AO7" s="177"/>
      <c r="AP7" s="76" t="e">
        <f t="shared" ref="AP7:AR7" ca="1" si="28">IF(MONTH(TODAY())&gt;=$D7,AD7-AA7,"")</f>
        <v>#REF!</v>
      </c>
      <c r="AQ7" s="76" t="e">
        <f t="shared" ca="1" si="28"/>
        <v>#REF!</v>
      </c>
      <c r="AR7" s="76" t="e">
        <f t="shared" ca="1" si="28"/>
        <v>#REF!</v>
      </c>
    </row>
    <row r="8" spans="2:44" ht="12.75">
      <c r="B8" s="1" t="s">
        <v>699</v>
      </c>
      <c r="C8" s="1" t="s">
        <v>700</v>
      </c>
      <c r="D8" s="60">
        <v>3</v>
      </c>
      <c r="E8" s="60" t="str">
        <f t="shared" si="0"/>
        <v>&gt;=4/1/24</v>
      </c>
      <c r="F8" s="87" t="s">
        <v>701</v>
      </c>
      <c r="G8" s="88">
        <f t="shared" si="12"/>
        <v>8.0399999999999999E-2</v>
      </c>
      <c r="H8" s="89">
        <f t="shared" ref="H8:I8" si="29">H57+H97</f>
        <v>9</v>
      </c>
      <c r="I8" s="89">
        <f t="shared" si="29"/>
        <v>126.99487683842199</v>
      </c>
      <c r="J8" s="90">
        <v>281400</v>
      </c>
      <c r="K8" s="79" t="e">
        <f t="shared" si="1"/>
        <v>#REF!</v>
      </c>
      <c r="L8" s="80" t="e">
        <f>SUMIFS(#REF!,#REF!,$B8,#REF!,$C8)</f>
        <v>#REF!</v>
      </c>
      <c r="M8" s="81" t="e">
        <f t="shared" si="2"/>
        <v>#REF!</v>
      </c>
      <c r="N8" s="79" t="e">
        <f t="shared" ref="N8:O8" si="30">COUNTIFS(#REF!,$B8,#REF!,$C8)</f>
        <v>#REF!</v>
      </c>
      <c r="O8" s="76" t="e">
        <f t="shared" si="30"/>
        <v>#REF!</v>
      </c>
      <c r="P8" s="76" t="e">
        <f t="shared" ca="1" si="4"/>
        <v>#REF!</v>
      </c>
      <c r="Q8" s="76" t="s">
        <v>698</v>
      </c>
      <c r="R8" s="82" t="e">
        <f t="shared" ca="1" si="5"/>
        <v>#REF!</v>
      </c>
      <c r="S8" s="79" t="e">
        <f t="shared" ref="S8:T8" si="31">COUNTIFS(#REF!,$B8,#REF!,$C8)</f>
        <v>#REF!</v>
      </c>
      <c r="T8" s="76" t="e">
        <f t="shared" si="31"/>
        <v>#REF!</v>
      </c>
      <c r="U8" s="76" t="e">
        <f t="shared" ca="1" si="7"/>
        <v>#REF!</v>
      </c>
      <c r="V8" s="76" t="s">
        <v>698</v>
      </c>
      <c r="W8" s="82" t="e">
        <f t="shared" ca="1" si="8"/>
        <v>#REF!</v>
      </c>
      <c r="X8" s="91">
        <v>7</v>
      </c>
      <c r="Y8" s="92">
        <f t="shared" ref="Y8:Z8" si="32">Y57+Y97</f>
        <v>113.5</v>
      </c>
      <c r="Z8" s="93">
        <f t="shared" si="32"/>
        <v>238422.69342857139</v>
      </c>
      <c r="AA8" s="85" t="e">
        <f t="shared" si="9"/>
        <v>#REF!</v>
      </c>
      <c r="AB8" s="79" t="e">
        <f>SUMIFS(#REF!,#REF!,$B8,#REF!,$C8)</f>
        <v>#REF!</v>
      </c>
      <c r="AC8" s="81" t="e">
        <f t="shared" si="10"/>
        <v>#REF!</v>
      </c>
      <c r="AD8" s="79" t="e">
        <f t="shared" si="17"/>
        <v>#REF!</v>
      </c>
      <c r="AE8" s="76" t="e">
        <f>SUMIFS(#REF!,#REF!,$B8,#REF!,$C8)</f>
        <v>#REF!</v>
      </c>
      <c r="AF8" s="94" t="e">
        <f t="shared" si="18"/>
        <v>#REF!</v>
      </c>
      <c r="AG8" s="177"/>
      <c r="AH8" s="95" t="e">
        <f t="shared" ref="AH8:AJ8" ca="1" si="33">IF(MONTH(TODAY())&gt;=$D8,K8-H8,"")</f>
        <v>#REF!</v>
      </c>
      <c r="AI8" s="76" t="e">
        <f t="shared" ca="1" si="33"/>
        <v>#REF!</v>
      </c>
      <c r="AJ8" s="76" t="e">
        <f t="shared" ca="1" si="33"/>
        <v>#REF!</v>
      </c>
      <c r="AK8" s="177"/>
      <c r="AL8" s="76" t="e">
        <f t="shared" ref="AL8:AN8" ca="1" si="34">IF(MONTH(TODAY())&gt;=$D8,AD8-X8,"")</f>
        <v>#REF!</v>
      </c>
      <c r="AM8" s="76" t="e">
        <f t="shared" ca="1" si="34"/>
        <v>#REF!</v>
      </c>
      <c r="AN8" s="76" t="e">
        <f t="shared" ca="1" si="34"/>
        <v>#REF!</v>
      </c>
      <c r="AO8" s="177"/>
      <c r="AP8" s="76" t="e">
        <f t="shared" ref="AP8:AR8" ca="1" si="35">IF(MONTH(TODAY())&gt;=$D8,AD8-AA8,"")</f>
        <v>#REF!</v>
      </c>
      <c r="AQ8" s="76" t="e">
        <f t="shared" ca="1" si="35"/>
        <v>#REF!</v>
      </c>
      <c r="AR8" s="76" t="e">
        <f t="shared" ca="1" si="35"/>
        <v>#REF!</v>
      </c>
    </row>
    <row r="9" spans="2:44" ht="12.75">
      <c r="B9" s="1" t="s">
        <v>702</v>
      </c>
      <c r="C9" s="1" t="s">
        <v>703</v>
      </c>
      <c r="D9" s="60">
        <v>4</v>
      </c>
      <c r="E9" s="60" t="str">
        <f t="shared" si="0"/>
        <v>&gt;=5/1/24</v>
      </c>
      <c r="F9" s="87" t="s">
        <v>704</v>
      </c>
      <c r="G9" s="88">
        <f t="shared" si="12"/>
        <v>0.1018</v>
      </c>
      <c r="H9" s="89">
        <f t="shared" ref="H9:I9" si="36">H58+H98</f>
        <v>11</v>
      </c>
      <c r="I9" s="89">
        <f t="shared" si="36"/>
        <v>153.96920787290475</v>
      </c>
      <c r="J9" s="90">
        <v>356300</v>
      </c>
      <c r="K9" s="79" t="e">
        <f t="shared" si="1"/>
        <v>#REF!</v>
      </c>
      <c r="L9" s="80" t="e">
        <f>SUMIFS(#REF!,#REF!,$B9,#REF!,$C9)</f>
        <v>#REF!</v>
      </c>
      <c r="M9" s="81" t="e">
        <f t="shared" si="2"/>
        <v>#REF!</v>
      </c>
      <c r="N9" s="79" t="e">
        <f t="shared" ref="N9:O9" si="37">COUNTIFS(#REF!,$B9,#REF!,$C9)</f>
        <v>#REF!</v>
      </c>
      <c r="O9" s="76" t="e">
        <f t="shared" si="37"/>
        <v>#REF!</v>
      </c>
      <c r="P9" s="76" t="str">
        <f t="shared" ca="1" si="4"/>
        <v/>
      </c>
      <c r="Q9" s="76" t="s">
        <v>698</v>
      </c>
      <c r="R9" s="82" t="str">
        <f t="shared" ca="1" si="5"/>
        <v/>
      </c>
      <c r="S9" s="79" t="e">
        <f t="shared" ref="S9:T9" si="38">COUNTIFS(#REF!,$B9,#REF!,$C9)</f>
        <v>#REF!</v>
      </c>
      <c r="T9" s="76" t="e">
        <f t="shared" si="38"/>
        <v>#REF!</v>
      </c>
      <c r="U9" s="76" t="str">
        <f t="shared" ca="1" si="7"/>
        <v/>
      </c>
      <c r="V9" s="76" t="s">
        <v>698</v>
      </c>
      <c r="W9" s="82" t="str">
        <f t="shared" ca="1" si="8"/>
        <v/>
      </c>
      <c r="X9" s="91">
        <v>11</v>
      </c>
      <c r="Y9" s="92">
        <f t="shared" ref="Y9:Z9" si="39">Y58+Y98</f>
        <v>153.5</v>
      </c>
      <c r="Z9" s="93">
        <f t="shared" si="39"/>
        <v>349495.11285714287</v>
      </c>
      <c r="AA9" s="85" t="e">
        <f t="shared" si="9"/>
        <v>#REF!</v>
      </c>
      <c r="AB9" s="79" t="e">
        <f>SUMIFS(#REF!,#REF!,$B9,#REF!,$C9)</f>
        <v>#REF!</v>
      </c>
      <c r="AC9" s="81" t="e">
        <f t="shared" si="10"/>
        <v>#REF!</v>
      </c>
      <c r="AD9" s="79" t="e">
        <f t="shared" si="17"/>
        <v>#REF!</v>
      </c>
      <c r="AE9" s="76" t="e">
        <f>SUMIFS(#REF!,#REF!,$B9,#REF!,$C9)</f>
        <v>#REF!</v>
      </c>
      <c r="AF9" s="94" t="e">
        <f t="shared" si="18"/>
        <v>#REF!</v>
      </c>
      <c r="AG9" s="177"/>
      <c r="AH9" s="95" t="str">
        <f t="shared" ref="AH9:AJ9" ca="1" si="40">IF(MONTH(TODAY())&gt;=$D9,K9-H9,"")</f>
        <v/>
      </c>
      <c r="AI9" s="76" t="str">
        <f t="shared" ca="1" si="40"/>
        <v/>
      </c>
      <c r="AJ9" s="76" t="str">
        <f t="shared" ca="1" si="40"/>
        <v/>
      </c>
      <c r="AK9" s="177"/>
      <c r="AL9" s="76" t="str">
        <f t="shared" ref="AL9:AN9" ca="1" si="41">IF(MONTH(TODAY())&gt;=$D9,AD9-X9,"")</f>
        <v/>
      </c>
      <c r="AM9" s="76" t="str">
        <f t="shared" ca="1" si="41"/>
        <v/>
      </c>
      <c r="AN9" s="76" t="str">
        <f t="shared" ca="1" si="41"/>
        <v/>
      </c>
      <c r="AO9" s="177"/>
      <c r="AP9" s="76" t="str">
        <f t="shared" ref="AP9:AR9" ca="1" si="42">IF(MONTH(TODAY())&gt;=$D9,AD9-AA9,"")</f>
        <v/>
      </c>
      <c r="AQ9" s="76" t="str">
        <f t="shared" ca="1" si="42"/>
        <v/>
      </c>
      <c r="AR9" s="76" t="str">
        <f t="shared" ca="1" si="42"/>
        <v/>
      </c>
    </row>
    <row r="10" spans="2:44" ht="12.75">
      <c r="B10" s="1" t="s">
        <v>705</v>
      </c>
      <c r="C10" s="1" t="s">
        <v>706</v>
      </c>
      <c r="D10" s="60">
        <v>5</v>
      </c>
      <c r="E10" s="60" t="str">
        <f t="shared" si="0"/>
        <v>&gt;=6/1/24</v>
      </c>
      <c r="F10" s="87" t="s">
        <v>707</v>
      </c>
      <c r="G10" s="88">
        <f t="shared" si="12"/>
        <v>0.10680000000000001</v>
      </c>
      <c r="H10" s="89">
        <f t="shared" ref="H10:I10" si="43">H59+H99</f>
        <v>12</v>
      </c>
      <c r="I10" s="89">
        <f t="shared" si="43"/>
        <v>160.2716216660082</v>
      </c>
      <c r="J10" s="90">
        <v>373800</v>
      </c>
      <c r="K10" s="79" t="e">
        <f t="shared" si="1"/>
        <v>#REF!</v>
      </c>
      <c r="L10" s="80" t="e">
        <f>SUMIFS(#REF!,#REF!,$B10,#REF!,$C10)</f>
        <v>#REF!</v>
      </c>
      <c r="M10" s="81" t="e">
        <f t="shared" si="2"/>
        <v>#REF!</v>
      </c>
      <c r="N10" s="79" t="e">
        <f t="shared" ref="N10:O10" si="44">COUNTIFS(#REF!,$B10,#REF!,$C10)</f>
        <v>#REF!</v>
      </c>
      <c r="O10" s="76" t="e">
        <f t="shared" si="44"/>
        <v>#REF!</v>
      </c>
      <c r="P10" s="76" t="str">
        <f t="shared" ca="1" si="4"/>
        <v/>
      </c>
      <c r="Q10" s="76" t="s">
        <v>698</v>
      </c>
      <c r="R10" s="82" t="str">
        <f t="shared" ca="1" si="5"/>
        <v/>
      </c>
      <c r="S10" s="79" t="e">
        <f t="shared" ref="S10:T10" si="45">COUNTIFS(#REF!,$B10,#REF!,$C10)</f>
        <v>#REF!</v>
      </c>
      <c r="T10" s="76" t="e">
        <f t="shared" si="45"/>
        <v>#REF!</v>
      </c>
      <c r="U10" s="76" t="str">
        <f t="shared" ca="1" si="7"/>
        <v/>
      </c>
      <c r="V10" s="76" t="s">
        <v>698</v>
      </c>
      <c r="W10" s="82" t="str">
        <f t="shared" ca="1" si="8"/>
        <v/>
      </c>
      <c r="X10" s="91">
        <v>11</v>
      </c>
      <c r="Y10" s="92">
        <f t="shared" ref="Y10:Z10" si="46">Y59+Y99</f>
        <v>153.5</v>
      </c>
      <c r="Z10" s="93">
        <f t="shared" si="46"/>
        <v>349495.11285714287</v>
      </c>
      <c r="AA10" s="85" t="e">
        <f t="shared" si="9"/>
        <v>#REF!</v>
      </c>
      <c r="AB10" s="79" t="e">
        <f>SUMIFS(#REF!,#REF!,$B10,#REF!,$C10)</f>
        <v>#REF!</v>
      </c>
      <c r="AC10" s="81" t="e">
        <f t="shared" si="10"/>
        <v>#REF!</v>
      </c>
      <c r="AD10" s="79" t="e">
        <f t="shared" si="17"/>
        <v>#REF!</v>
      </c>
      <c r="AE10" s="76" t="e">
        <f>SUMIFS(#REF!,#REF!,$B10,#REF!,$C10)</f>
        <v>#REF!</v>
      </c>
      <c r="AF10" s="94" t="e">
        <f t="shared" si="18"/>
        <v>#REF!</v>
      </c>
      <c r="AG10" s="177"/>
      <c r="AH10" s="95" t="str">
        <f t="shared" ref="AH10:AJ10" ca="1" si="47">IF(MONTH(TODAY())&gt;=$D10,K10-H10,"")</f>
        <v/>
      </c>
      <c r="AI10" s="76" t="str">
        <f t="shared" ca="1" si="47"/>
        <v/>
      </c>
      <c r="AJ10" s="76" t="str">
        <f t="shared" ca="1" si="47"/>
        <v/>
      </c>
      <c r="AK10" s="177"/>
      <c r="AL10" s="76" t="str">
        <f t="shared" ref="AL10:AN10" ca="1" si="48">IF(MONTH(TODAY())&gt;=$D10,AD10-X10,"")</f>
        <v/>
      </c>
      <c r="AM10" s="76" t="str">
        <f t="shared" ca="1" si="48"/>
        <v/>
      </c>
      <c r="AN10" s="76" t="str">
        <f t="shared" ca="1" si="48"/>
        <v/>
      </c>
      <c r="AO10" s="177"/>
      <c r="AP10" s="76" t="str">
        <f t="shared" ref="AP10:AR10" ca="1" si="49">IF(MONTH(TODAY())&gt;=$D10,AD10-AA10,"")</f>
        <v/>
      </c>
      <c r="AQ10" s="76" t="str">
        <f t="shared" ca="1" si="49"/>
        <v/>
      </c>
      <c r="AR10" s="76" t="str">
        <f t="shared" ca="1" si="49"/>
        <v/>
      </c>
    </row>
    <row r="11" spans="2:44" ht="12.75">
      <c r="B11" s="1" t="s">
        <v>708</v>
      </c>
      <c r="C11" s="1" t="s">
        <v>709</v>
      </c>
      <c r="D11" s="60">
        <v>6</v>
      </c>
      <c r="E11" s="60" t="str">
        <f t="shared" si="0"/>
        <v>&gt;=7/1/24</v>
      </c>
      <c r="F11" s="87" t="s">
        <v>710</v>
      </c>
      <c r="G11" s="88">
        <f t="shared" si="12"/>
        <v>0.1037</v>
      </c>
      <c r="H11" s="89">
        <f t="shared" ref="H11:I11" si="50">H60+H100</f>
        <v>12</v>
      </c>
      <c r="I11" s="89">
        <f t="shared" si="50"/>
        <v>156.36412511428404</v>
      </c>
      <c r="J11" s="90">
        <v>362950</v>
      </c>
      <c r="K11" s="79" t="e">
        <f t="shared" si="1"/>
        <v>#REF!</v>
      </c>
      <c r="L11" s="80" t="e">
        <f>SUMIFS(#REF!,#REF!,$B11,#REF!,$C11)</f>
        <v>#REF!</v>
      </c>
      <c r="M11" s="81" t="e">
        <f t="shared" si="2"/>
        <v>#REF!</v>
      </c>
      <c r="N11" s="79" t="e">
        <f t="shared" ref="N11:O11" si="51">COUNTIFS(#REF!,$B11,#REF!,$C11)</f>
        <v>#REF!</v>
      </c>
      <c r="O11" s="76" t="e">
        <f t="shared" si="51"/>
        <v>#REF!</v>
      </c>
      <c r="P11" s="76" t="str">
        <f t="shared" ca="1" si="4"/>
        <v/>
      </c>
      <c r="Q11" s="76" t="s">
        <v>698</v>
      </c>
      <c r="R11" s="82" t="str">
        <f t="shared" ca="1" si="5"/>
        <v/>
      </c>
      <c r="S11" s="79" t="e">
        <f t="shared" ref="S11:T11" si="52">COUNTIFS(#REF!,$B11,#REF!,$C11)</f>
        <v>#REF!</v>
      </c>
      <c r="T11" s="76" t="e">
        <f t="shared" si="52"/>
        <v>#REF!</v>
      </c>
      <c r="U11" s="76" t="str">
        <f t="shared" ca="1" si="7"/>
        <v/>
      </c>
      <c r="V11" s="76" t="s">
        <v>698</v>
      </c>
      <c r="W11" s="82" t="str">
        <f t="shared" ca="1" si="8"/>
        <v/>
      </c>
      <c r="X11" s="91">
        <v>11</v>
      </c>
      <c r="Y11" s="92">
        <f t="shared" ref="Y11:Z11" si="53">Y60+Y100</f>
        <v>153.5</v>
      </c>
      <c r="Z11" s="93">
        <f t="shared" si="53"/>
        <v>349495.11285714287</v>
      </c>
      <c r="AA11" s="85" t="e">
        <f t="shared" si="9"/>
        <v>#REF!</v>
      </c>
      <c r="AB11" s="79" t="e">
        <f>SUMIFS(#REF!,#REF!,$B11,#REF!,$C11)</f>
        <v>#REF!</v>
      </c>
      <c r="AC11" s="81" t="e">
        <f t="shared" si="10"/>
        <v>#REF!</v>
      </c>
      <c r="AD11" s="79" t="e">
        <f t="shared" si="17"/>
        <v>#REF!</v>
      </c>
      <c r="AE11" s="76" t="e">
        <f>SUMIFS(#REF!,#REF!,$B11,#REF!,$C11)</f>
        <v>#REF!</v>
      </c>
      <c r="AF11" s="94" t="e">
        <f t="shared" si="18"/>
        <v>#REF!</v>
      </c>
      <c r="AG11" s="177"/>
      <c r="AH11" s="95" t="str">
        <f t="shared" ref="AH11:AJ11" ca="1" si="54">IF(MONTH(TODAY())&gt;=$D11,K11-H11,"")</f>
        <v/>
      </c>
      <c r="AI11" s="76" t="str">
        <f t="shared" ca="1" si="54"/>
        <v/>
      </c>
      <c r="AJ11" s="76" t="str">
        <f t="shared" ca="1" si="54"/>
        <v/>
      </c>
      <c r="AK11" s="177"/>
      <c r="AL11" s="76" t="str">
        <f t="shared" ref="AL11:AN11" ca="1" si="55">IF(MONTH(TODAY())&gt;=$D11,AD11-X11,"")</f>
        <v/>
      </c>
      <c r="AM11" s="76" t="str">
        <f t="shared" ca="1" si="55"/>
        <v/>
      </c>
      <c r="AN11" s="76" t="str">
        <f t="shared" ca="1" si="55"/>
        <v/>
      </c>
      <c r="AO11" s="177"/>
      <c r="AP11" s="76" t="str">
        <f t="shared" ref="AP11:AR11" ca="1" si="56">IF(MONTH(TODAY())&gt;=$D11,AD11-AA11,"")</f>
        <v/>
      </c>
      <c r="AQ11" s="76" t="str">
        <f t="shared" ca="1" si="56"/>
        <v/>
      </c>
      <c r="AR11" s="76" t="str">
        <f t="shared" ca="1" si="56"/>
        <v/>
      </c>
    </row>
    <row r="12" spans="2:44" ht="12.75">
      <c r="B12" s="1" t="s">
        <v>711</v>
      </c>
      <c r="C12" s="1" t="s">
        <v>712</v>
      </c>
      <c r="D12" s="60">
        <v>7</v>
      </c>
      <c r="E12" s="60" t="str">
        <f t="shared" si="0"/>
        <v>&gt;=8/1/24</v>
      </c>
      <c r="F12" s="87" t="s">
        <v>713</v>
      </c>
      <c r="G12" s="88">
        <f t="shared" si="12"/>
        <v>6.4100000000000004E-2</v>
      </c>
      <c r="H12" s="89">
        <f t="shared" ref="H12:I12" si="57">H61+H101</f>
        <v>7</v>
      </c>
      <c r="I12" s="89">
        <f t="shared" si="57"/>
        <v>106.44900787290473</v>
      </c>
      <c r="J12" s="90">
        <v>224350</v>
      </c>
      <c r="K12" s="79" t="e">
        <f t="shared" si="1"/>
        <v>#REF!</v>
      </c>
      <c r="L12" s="80" t="e">
        <f>SUMIFS(#REF!,#REF!,$B12,#REF!,$C12)</f>
        <v>#REF!</v>
      </c>
      <c r="M12" s="81" t="e">
        <f t="shared" si="2"/>
        <v>#REF!</v>
      </c>
      <c r="N12" s="79" t="e">
        <f t="shared" ref="N12:O12" si="58">COUNTIFS(#REF!,$B12,#REF!,$C12)</f>
        <v>#REF!</v>
      </c>
      <c r="O12" s="76" t="e">
        <f t="shared" si="58"/>
        <v>#REF!</v>
      </c>
      <c r="P12" s="76" t="str">
        <f t="shared" ca="1" si="4"/>
        <v/>
      </c>
      <c r="Q12" s="76" t="s">
        <v>698</v>
      </c>
      <c r="R12" s="82" t="str">
        <f t="shared" ca="1" si="5"/>
        <v/>
      </c>
      <c r="S12" s="79" t="e">
        <f t="shared" ref="S12:T12" si="59">COUNTIFS(#REF!,$B12,#REF!,$C12)</f>
        <v>#REF!</v>
      </c>
      <c r="T12" s="76" t="e">
        <f t="shared" si="59"/>
        <v>#REF!</v>
      </c>
      <c r="U12" s="76" t="str">
        <f t="shared" ca="1" si="7"/>
        <v/>
      </c>
      <c r="V12" s="76" t="s">
        <v>698</v>
      </c>
      <c r="W12" s="82" t="str">
        <f t="shared" ca="1" si="8"/>
        <v/>
      </c>
      <c r="X12" s="91">
        <v>12</v>
      </c>
      <c r="Y12" s="92">
        <f t="shared" ref="Y12:Z12" si="60">Y61+Y101</f>
        <v>163.5</v>
      </c>
      <c r="Z12" s="93">
        <f t="shared" si="60"/>
        <v>377263.21771428571</v>
      </c>
      <c r="AA12" s="85" t="e">
        <f t="shared" si="9"/>
        <v>#REF!</v>
      </c>
      <c r="AB12" s="79" t="e">
        <f>SUMIFS(#REF!,#REF!,$B12,#REF!,$C12)</f>
        <v>#REF!</v>
      </c>
      <c r="AC12" s="81" t="e">
        <f t="shared" si="10"/>
        <v>#REF!</v>
      </c>
      <c r="AD12" s="79" t="e">
        <f t="shared" si="17"/>
        <v>#REF!</v>
      </c>
      <c r="AE12" s="76" t="e">
        <f>SUMIFS(#REF!,#REF!,$B12,#REF!,$C12)</f>
        <v>#REF!</v>
      </c>
      <c r="AF12" s="94" t="e">
        <f t="shared" si="18"/>
        <v>#REF!</v>
      </c>
      <c r="AG12" s="177"/>
      <c r="AH12" s="95" t="str">
        <f t="shared" ref="AH12:AJ12" ca="1" si="61">IF(MONTH(TODAY())&gt;=$D12,K12-H12,"")</f>
        <v/>
      </c>
      <c r="AI12" s="76" t="str">
        <f t="shared" ca="1" si="61"/>
        <v/>
      </c>
      <c r="AJ12" s="76" t="str">
        <f t="shared" ca="1" si="61"/>
        <v/>
      </c>
      <c r="AK12" s="177"/>
      <c r="AL12" s="76" t="str">
        <f t="shared" ref="AL12:AN12" ca="1" si="62">IF(MONTH(TODAY())&gt;=$D12,AD12-X12,"")</f>
        <v/>
      </c>
      <c r="AM12" s="76" t="str">
        <f t="shared" ca="1" si="62"/>
        <v/>
      </c>
      <c r="AN12" s="76" t="str">
        <f t="shared" ca="1" si="62"/>
        <v/>
      </c>
      <c r="AO12" s="177"/>
      <c r="AP12" s="76" t="str">
        <f t="shared" ref="AP12:AR12" ca="1" si="63">IF(MONTH(TODAY())&gt;=$D12,AD12-AA12,"")</f>
        <v/>
      </c>
      <c r="AQ12" s="76" t="str">
        <f t="shared" ca="1" si="63"/>
        <v/>
      </c>
      <c r="AR12" s="76" t="str">
        <f t="shared" ca="1" si="63"/>
        <v/>
      </c>
    </row>
    <row r="13" spans="2:44" ht="12.75">
      <c r="B13" s="1" t="s">
        <v>714</v>
      </c>
      <c r="C13" s="1" t="s">
        <v>715</v>
      </c>
      <c r="D13" s="60">
        <v>8</v>
      </c>
      <c r="E13" s="60" t="str">
        <f t="shared" si="0"/>
        <v>&gt;=9/1/24</v>
      </c>
      <c r="F13" s="87" t="s">
        <v>716</v>
      </c>
      <c r="G13" s="88">
        <f t="shared" si="12"/>
        <v>9.3299999999999994E-2</v>
      </c>
      <c r="H13" s="89">
        <f t="shared" ref="H13:I13" si="64">H62+H102</f>
        <v>10</v>
      </c>
      <c r="I13" s="89">
        <f t="shared" si="64"/>
        <v>143.25510442462888</v>
      </c>
      <c r="J13" s="90">
        <v>326550</v>
      </c>
      <c r="K13" s="79" t="e">
        <f t="shared" si="1"/>
        <v>#REF!</v>
      </c>
      <c r="L13" s="80" t="e">
        <f>SUMIFS(#REF!,#REF!,$B13,#REF!,$C13)</f>
        <v>#REF!</v>
      </c>
      <c r="M13" s="81" t="e">
        <f t="shared" si="2"/>
        <v>#REF!</v>
      </c>
      <c r="N13" s="79" t="e">
        <f t="shared" ref="N13:O13" si="65">COUNTIFS(#REF!,$B13,#REF!,$C13)</f>
        <v>#REF!</v>
      </c>
      <c r="O13" s="76" t="e">
        <f t="shared" si="65"/>
        <v>#REF!</v>
      </c>
      <c r="P13" s="76" t="str">
        <f t="shared" ca="1" si="4"/>
        <v/>
      </c>
      <c r="Q13" s="76" t="s">
        <v>698</v>
      </c>
      <c r="R13" s="82" t="str">
        <f t="shared" ca="1" si="5"/>
        <v/>
      </c>
      <c r="S13" s="79" t="e">
        <f t="shared" ref="S13:T13" si="66">COUNTIFS(#REF!,$B13,#REF!,$C13)</f>
        <v>#REF!</v>
      </c>
      <c r="T13" s="76" t="e">
        <f t="shared" si="66"/>
        <v>#REF!</v>
      </c>
      <c r="U13" s="76" t="str">
        <f t="shared" ca="1" si="7"/>
        <v/>
      </c>
      <c r="V13" s="76" t="s">
        <v>698</v>
      </c>
      <c r="W13" s="82" t="str">
        <f t="shared" ca="1" si="8"/>
        <v/>
      </c>
      <c r="X13" s="91">
        <v>12</v>
      </c>
      <c r="Y13" s="92">
        <f t="shared" ref="Y13:Z13" si="67">Y62+Y102</f>
        <v>163.5</v>
      </c>
      <c r="Z13" s="93">
        <f t="shared" si="67"/>
        <v>377263.21771428571</v>
      </c>
      <c r="AA13" s="85" t="e">
        <f t="shared" si="9"/>
        <v>#REF!</v>
      </c>
      <c r="AB13" s="79" t="e">
        <f>SUMIFS(#REF!,#REF!,$B13,#REF!,$C13)</f>
        <v>#REF!</v>
      </c>
      <c r="AC13" s="81" t="e">
        <f t="shared" si="10"/>
        <v>#REF!</v>
      </c>
      <c r="AD13" s="79" t="e">
        <f t="shared" si="17"/>
        <v>#REF!</v>
      </c>
      <c r="AE13" s="76" t="e">
        <f>SUMIFS(#REF!,#REF!,$B13,#REF!,$C13)</f>
        <v>#REF!</v>
      </c>
      <c r="AF13" s="94" t="e">
        <f t="shared" si="18"/>
        <v>#REF!</v>
      </c>
      <c r="AG13" s="177"/>
      <c r="AH13" s="95" t="str">
        <f t="shared" ref="AH13:AJ13" ca="1" si="68">IF(MONTH(TODAY())&gt;=$D13,K13-H13,"")</f>
        <v/>
      </c>
      <c r="AI13" s="76" t="str">
        <f t="shared" ca="1" si="68"/>
        <v/>
      </c>
      <c r="AJ13" s="76" t="str">
        <f t="shared" ca="1" si="68"/>
        <v/>
      </c>
      <c r="AK13" s="177"/>
      <c r="AL13" s="76" t="str">
        <f t="shared" ref="AL13:AN13" ca="1" si="69">IF(MONTH(TODAY())&gt;=$D13,AD13-X13,"")</f>
        <v/>
      </c>
      <c r="AM13" s="76" t="str">
        <f t="shared" ca="1" si="69"/>
        <v/>
      </c>
      <c r="AN13" s="76" t="str">
        <f t="shared" ca="1" si="69"/>
        <v/>
      </c>
      <c r="AO13" s="177"/>
      <c r="AP13" s="76" t="str">
        <f t="shared" ref="AP13:AR13" ca="1" si="70">IF(MONTH(TODAY())&gt;=$D13,AD13-AA13,"")</f>
        <v/>
      </c>
      <c r="AQ13" s="76" t="str">
        <f t="shared" ca="1" si="70"/>
        <v/>
      </c>
      <c r="AR13" s="76" t="str">
        <f t="shared" ca="1" si="70"/>
        <v/>
      </c>
    </row>
    <row r="14" spans="2:44" ht="12.75">
      <c r="B14" s="1" t="s">
        <v>717</v>
      </c>
      <c r="C14" s="1" t="s">
        <v>718</v>
      </c>
      <c r="D14" s="60">
        <v>9</v>
      </c>
      <c r="E14" s="60" t="str">
        <f t="shared" si="0"/>
        <v>&gt;=10/1/24</v>
      </c>
      <c r="F14" s="87" t="s">
        <v>719</v>
      </c>
      <c r="G14" s="88">
        <f t="shared" si="12"/>
        <v>8.2900000000000001E-2</v>
      </c>
      <c r="H14" s="89">
        <f t="shared" ref="H14:I14" si="71">H63+H103</f>
        <v>9</v>
      </c>
      <c r="I14" s="89">
        <f t="shared" si="71"/>
        <v>130.1460837349737</v>
      </c>
      <c r="J14" s="90">
        <v>290150</v>
      </c>
      <c r="K14" s="79" t="e">
        <f t="shared" si="1"/>
        <v>#REF!</v>
      </c>
      <c r="L14" s="80" t="e">
        <f>SUMIFS(#REF!,#REF!,$B14,#REF!,$C14)</f>
        <v>#REF!</v>
      </c>
      <c r="M14" s="81" t="e">
        <f t="shared" si="2"/>
        <v>#REF!</v>
      </c>
      <c r="N14" s="79" t="e">
        <f t="shared" ref="N14:O14" si="72">COUNTIFS(#REF!,$B14,#REF!,$C14)</f>
        <v>#REF!</v>
      </c>
      <c r="O14" s="76" t="e">
        <f t="shared" si="72"/>
        <v>#REF!</v>
      </c>
      <c r="P14" s="76" t="str">
        <f t="shared" ca="1" si="4"/>
        <v/>
      </c>
      <c r="Q14" s="76" t="s">
        <v>698</v>
      </c>
      <c r="R14" s="82" t="str">
        <f t="shared" ca="1" si="5"/>
        <v/>
      </c>
      <c r="S14" s="79" t="e">
        <f t="shared" ref="S14:T14" si="73">COUNTIFS(#REF!,$B14,#REF!,$C14)</f>
        <v>#REF!</v>
      </c>
      <c r="T14" s="76" t="e">
        <f t="shared" si="73"/>
        <v>#REF!</v>
      </c>
      <c r="U14" s="76" t="str">
        <f t="shared" ca="1" si="7"/>
        <v/>
      </c>
      <c r="V14" s="76" t="s">
        <v>698</v>
      </c>
      <c r="W14" s="82" t="str">
        <f t="shared" ca="1" si="8"/>
        <v/>
      </c>
      <c r="X14" s="91">
        <v>11</v>
      </c>
      <c r="Y14" s="92">
        <f t="shared" ref="Y14:Z14" si="74">Y63+Y103</f>
        <v>153.5</v>
      </c>
      <c r="Z14" s="93">
        <f t="shared" si="74"/>
        <v>349495.11285714287</v>
      </c>
      <c r="AA14" s="85" t="e">
        <f t="shared" si="9"/>
        <v>#REF!</v>
      </c>
      <c r="AB14" s="79" t="e">
        <f>SUMIFS(#REF!,#REF!,$B14,#REF!,$C14)</f>
        <v>#REF!</v>
      </c>
      <c r="AC14" s="81" t="e">
        <f t="shared" si="10"/>
        <v>#REF!</v>
      </c>
      <c r="AD14" s="79" t="e">
        <f t="shared" si="17"/>
        <v>#REF!</v>
      </c>
      <c r="AE14" s="76" t="e">
        <f>SUMIFS(#REF!,#REF!,$B14,#REF!,$C14)</f>
        <v>#REF!</v>
      </c>
      <c r="AF14" s="94" t="e">
        <f t="shared" si="18"/>
        <v>#REF!</v>
      </c>
      <c r="AG14" s="177"/>
      <c r="AH14" s="95" t="str">
        <f t="shared" ref="AH14:AJ14" ca="1" si="75">IF(MONTH(TODAY())&gt;=$D14,K14-H14,"")</f>
        <v/>
      </c>
      <c r="AI14" s="76" t="str">
        <f t="shared" ca="1" si="75"/>
        <v/>
      </c>
      <c r="AJ14" s="76" t="str">
        <f t="shared" ca="1" si="75"/>
        <v/>
      </c>
      <c r="AK14" s="177"/>
      <c r="AL14" s="76" t="str">
        <f t="shared" ref="AL14:AN14" ca="1" si="76">IF(MONTH(TODAY())&gt;=$D14,AD14-X14,"")</f>
        <v/>
      </c>
      <c r="AM14" s="76" t="str">
        <f t="shared" ca="1" si="76"/>
        <v/>
      </c>
      <c r="AN14" s="76" t="str">
        <f t="shared" ca="1" si="76"/>
        <v/>
      </c>
      <c r="AO14" s="177"/>
      <c r="AP14" s="76" t="str">
        <f t="shared" ref="AP14:AR14" ca="1" si="77">IF(MONTH(TODAY())&gt;=$D14,AD14-AA14,"")</f>
        <v/>
      </c>
      <c r="AQ14" s="76" t="str">
        <f t="shared" ca="1" si="77"/>
        <v/>
      </c>
      <c r="AR14" s="76" t="str">
        <f t="shared" ca="1" si="77"/>
        <v/>
      </c>
    </row>
    <row r="15" spans="2:44" ht="12.75">
      <c r="B15" s="1" t="s">
        <v>720</v>
      </c>
      <c r="C15" s="1" t="s">
        <v>721</v>
      </c>
      <c r="D15" s="60">
        <v>10</v>
      </c>
      <c r="E15" s="60" t="str">
        <f t="shared" si="0"/>
        <v>&gt;=11/1/24</v>
      </c>
      <c r="F15" s="87" t="s">
        <v>722</v>
      </c>
      <c r="G15" s="88">
        <f t="shared" si="12"/>
        <v>0.1056</v>
      </c>
      <c r="H15" s="89">
        <f t="shared" ref="H15:I15" si="78">H64+H104</f>
        <v>13</v>
      </c>
      <c r="I15" s="89">
        <f t="shared" si="78"/>
        <v>133.10697931034485</v>
      </c>
      <c r="J15" s="90">
        <v>369600</v>
      </c>
      <c r="K15" s="79" t="e">
        <f t="shared" si="1"/>
        <v>#REF!</v>
      </c>
      <c r="L15" s="80" t="e">
        <f>SUMIFS(#REF!,#REF!,$B15,#REF!,$C15)</f>
        <v>#REF!</v>
      </c>
      <c r="M15" s="81" t="e">
        <f t="shared" si="2"/>
        <v>#REF!</v>
      </c>
      <c r="N15" s="79" t="e">
        <f t="shared" ref="N15:O15" si="79">COUNTIFS(#REF!,$B15,#REF!,$C15)</f>
        <v>#REF!</v>
      </c>
      <c r="O15" s="76" t="e">
        <f t="shared" si="79"/>
        <v>#REF!</v>
      </c>
      <c r="P15" s="76" t="str">
        <f t="shared" ca="1" si="4"/>
        <v/>
      </c>
      <c r="Q15" s="76" t="s">
        <v>698</v>
      </c>
      <c r="R15" s="82" t="str">
        <f t="shared" ca="1" si="5"/>
        <v/>
      </c>
      <c r="S15" s="79" t="e">
        <f t="shared" ref="S15:T15" si="80">COUNTIFS(#REF!,$B15,#REF!,$C15)</f>
        <v>#REF!</v>
      </c>
      <c r="T15" s="76" t="e">
        <f t="shared" si="80"/>
        <v>#REF!</v>
      </c>
      <c r="U15" s="76" t="str">
        <f t="shared" ca="1" si="7"/>
        <v/>
      </c>
      <c r="V15" s="76" t="s">
        <v>698</v>
      </c>
      <c r="W15" s="82" t="str">
        <f t="shared" ca="1" si="8"/>
        <v/>
      </c>
      <c r="X15" s="91">
        <v>12</v>
      </c>
      <c r="Y15" s="92">
        <f t="shared" ref="Y15:Z15" si="81">Y64+Y104</f>
        <v>163.5</v>
      </c>
      <c r="Z15" s="93">
        <f t="shared" si="81"/>
        <v>377263.21771428571</v>
      </c>
      <c r="AA15" s="85" t="e">
        <f t="shared" si="9"/>
        <v>#REF!</v>
      </c>
      <c r="AB15" s="79" t="e">
        <f>SUMIFS(#REF!,#REF!,$B15,#REF!,$C15)</f>
        <v>#REF!</v>
      </c>
      <c r="AC15" s="81" t="e">
        <f t="shared" si="10"/>
        <v>#REF!</v>
      </c>
      <c r="AD15" s="79" t="e">
        <f t="shared" si="17"/>
        <v>#REF!</v>
      </c>
      <c r="AE15" s="76" t="e">
        <f>SUMIFS(#REF!,#REF!,$B15,#REF!,$C15)</f>
        <v>#REF!</v>
      </c>
      <c r="AF15" s="94" t="e">
        <f t="shared" si="18"/>
        <v>#REF!</v>
      </c>
      <c r="AG15" s="177"/>
      <c r="AH15" s="95" t="str">
        <f t="shared" ref="AH15:AJ15" ca="1" si="82">IF(MONTH(TODAY())&gt;=$D15,K15-H15,"")</f>
        <v/>
      </c>
      <c r="AI15" s="76" t="str">
        <f t="shared" ca="1" si="82"/>
        <v/>
      </c>
      <c r="AJ15" s="76" t="str">
        <f t="shared" ca="1" si="82"/>
        <v/>
      </c>
      <c r="AK15" s="177"/>
      <c r="AL15" s="76" t="str">
        <f t="shared" ref="AL15:AN15" ca="1" si="83">IF(MONTH(TODAY())&gt;=$D15,AD15-X15,"")</f>
        <v/>
      </c>
      <c r="AM15" s="76" t="str">
        <f t="shared" ca="1" si="83"/>
        <v/>
      </c>
      <c r="AN15" s="76" t="str">
        <f t="shared" ca="1" si="83"/>
        <v/>
      </c>
      <c r="AO15" s="177"/>
      <c r="AP15" s="76" t="str">
        <f t="shared" ref="AP15:AR15" ca="1" si="84">IF(MONTH(TODAY())&gt;=$D15,AD15-AA15,"")</f>
        <v/>
      </c>
      <c r="AQ15" s="76" t="str">
        <f t="shared" ca="1" si="84"/>
        <v/>
      </c>
      <c r="AR15" s="76" t="str">
        <f t="shared" ca="1" si="84"/>
        <v/>
      </c>
    </row>
    <row r="16" spans="2:44" ht="12.75">
      <c r="B16" s="1" t="s">
        <v>723</v>
      </c>
      <c r="C16" s="1" t="s">
        <v>724</v>
      </c>
      <c r="D16" s="60">
        <v>11</v>
      </c>
      <c r="E16" s="60" t="str">
        <f t="shared" si="0"/>
        <v>&gt;=12/1/24</v>
      </c>
      <c r="F16" s="87" t="s">
        <v>725</v>
      </c>
      <c r="G16" s="88">
        <f t="shared" si="12"/>
        <v>6.5299999999999997E-2</v>
      </c>
      <c r="H16" s="89">
        <f t="shared" ref="H16:I16" si="85">H65+H105</f>
        <v>8</v>
      </c>
      <c r="I16" s="89">
        <f t="shared" si="85"/>
        <v>82.309524137931049</v>
      </c>
      <c r="J16" s="90">
        <v>228550</v>
      </c>
      <c r="K16" s="79" t="e">
        <f t="shared" si="1"/>
        <v>#REF!</v>
      </c>
      <c r="L16" s="80" t="e">
        <f>SUMIFS(#REF!,#REF!,$B16,#REF!,$C16)</f>
        <v>#REF!</v>
      </c>
      <c r="M16" s="81" t="e">
        <f t="shared" si="2"/>
        <v>#REF!</v>
      </c>
      <c r="N16" s="79" t="e">
        <f t="shared" ref="N16:O16" si="86">COUNTIFS(#REF!,$B16,#REF!,$C16)</f>
        <v>#REF!</v>
      </c>
      <c r="O16" s="76" t="e">
        <f t="shared" si="86"/>
        <v>#REF!</v>
      </c>
      <c r="P16" s="76" t="str">
        <f t="shared" ca="1" si="4"/>
        <v/>
      </c>
      <c r="Q16" s="76" t="s">
        <v>698</v>
      </c>
      <c r="R16" s="82" t="str">
        <f t="shared" ca="1" si="5"/>
        <v/>
      </c>
      <c r="S16" s="79" t="e">
        <f t="shared" ref="S16:T16" si="87">COUNTIFS(#REF!,$B16,#REF!,$C16)</f>
        <v>#REF!</v>
      </c>
      <c r="T16" s="76" t="e">
        <f t="shared" si="87"/>
        <v>#REF!</v>
      </c>
      <c r="U16" s="76" t="str">
        <f t="shared" ca="1" si="7"/>
        <v/>
      </c>
      <c r="V16" s="76" t="s">
        <v>698</v>
      </c>
      <c r="W16" s="82" t="str">
        <f t="shared" ca="1" si="8"/>
        <v/>
      </c>
      <c r="X16" s="91">
        <v>9</v>
      </c>
      <c r="Y16" s="92">
        <f t="shared" ref="Y16:Z16" si="88">Y65+Y105</f>
        <v>90</v>
      </c>
      <c r="Z16" s="93">
        <f t="shared" si="88"/>
        <v>249912.94371428576</v>
      </c>
      <c r="AA16" s="85" t="e">
        <f t="shared" si="9"/>
        <v>#REF!</v>
      </c>
      <c r="AB16" s="79" t="e">
        <f>SUMIFS(#REF!,#REF!,$B16,#REF!,$C16)</f>
        <v>#REF!</v>
      </c>
      <c r="AC16" s="81" t="e">
        <f t="shared" si="10"/>
        <v>#REF!</v>
      </c>
      <c r="AD16" s="79" t="e">
        <f t="shared" si="17"/>
        <v>#REF!</v>
      </c>
      <c r="AE16" s="76" t="e">
        <f>SUMIFS(#REF!,#REF!,$B16,#REF!,$C16)</f>
        <v>#REF!</v>
      </c>
      <c r="AF16" s="94" t="e">
        <f t="shared" si="18"/>
        <v>#REF!</v>
      </c>
      <c r="AG16" s="177"/>
      <c r="AH16" s="95" t="str">
        <f t="shared" ref="AH16:AJ16" ca="1" si="89">IF(MONTH(TODAY())&gt;=$D16,K16-H16,"")</f>
        <v/>
      </c>
      <c r="AI16" s="76" t="str">
        <f t="shared" ca="1" si="89"/>
        <v/>
      </c>
      <c r="AJ16" s="76" t="str">
        <f t="shared" ca="1" si="89"/>
        <v/>
      </c>
      <c r="AK16" s="177"/>
      <c r="AL16" s="76" t="str">
        <f t="shared" ref="AL16:AN16" ca="1" si="90">IF(MONTH(TODAY())&gt;=$D16,AD16-X16,"")</f>
        <v/>
      </c>
      <c r="AM16" s="76" t="str">
        <f t="shared" ca="1" si="90"/>
        <v/>
      </c>
      <c r="AN16" s="76" t="str">
        <f t="shared" ca="1" si="90"/>
        <v/>
      </c>
      <c r="AO16" s="177"/>
      <c r="AP16" s="76" t="str">
        <f t="shared" ref="AP16:AR16" ca="1" si="91">IF(MONTH(TODAY())&gt;=$D16,AD16-AA16,"")</f>
        <v/>
      </c>
      <c r="AQ16" s="76" t="str">
        <f t="shared" ca="1" si="91"/>
        <v/>
      </c>
      <c r="AR16" s="76" t="str">
        <f t="shared" ca="1" si="91"/>
        <v/>
      </c>
    </row>
    <row r="17" spans="2:44" ht="12.75">
      <c r="B17" s="1" t="s">
        <v>726</v>
      </c>
      <c r="C17" s="1" t="s">
        <v>727</v>
      </c>
      <c r="D17" s="60">
        <v>12</v>
      </c>
      <c r="E17" s="60" t="str">
        <f t="shared" si="0"/>
        <v>&gt;=1/1/25</v>
      </c>
      <c r="F17" s="96" t="s">
        <v>728</v>
      </c>
      <c r="G17" s="88">
        <f t="shared" si="12"/>
        <v>8.1100000000000005E-2</v>
      </c>
      <c r="H17" s="89">
        <f t="shared" ref="H17:I17" si="92">H66+H106</f>
        <v>10</v>
      </c>
      <c r="I17" s="89">
        <f t="shared" si="92"/>
        <v>102.22515172413793</v>
      </c>
      <c r="J17" s="90">
        <v>283850</v>
      </c>
      <c r="K17" s="79" t="e">
        <f t="shared" si="1"/>
        <v>#REF!</v>
      </c>
      <c r="L17" s="80" t="e">
        <f>SUMIFS(#REF!,#REF!,$B17,#REF!,$C17)</f>
        <v>#REF!</v>
      </c>
      <c r="M17" s="81" t="e">
        <f t="shared" si="2"/>
        <v>#REF!</v>
      </c>
      <c r="N17" s="79" t="e">
        <f t="shared" ref="N17:O17" si="93">COUNTIFS(#REF!,$B17,#REF!,$C17)</f>
        <v>#REF!</v>
      </c>
      <c r="O17" s="76" t="e">
        <f t="shared" si="93"/>
        <v>#REF!</v>
      </c>
      <c r="P17" s="76" t="str">
        <f t="shared" ca="1" si="4"/>
        <v/>
      </c>
      <c r="Q17" s="76" t="s">
        <v>698</v>
      </c>
      <c r="R17" s="82" t="str">
        <f t="shared" ca="1" si="5"/>
        <v/>
      </c>
      <c r="S17" s="79" t="e">
        <f t="shared" ref="S17:T17" si="94">COUNTIFS(#REF!,$B17,#REF!,$C17)</f>
        <v>#REF!</v>
      </c>
      <c r="T17" s="76" t="e">
        <f t="shared" si="94"/>
        <v>#REF!</v>
      </c>
      <c r="U17" s="76" t="str">
        <f t="shared" ca="1" si="7"/>
        <v/>
      </c>
      <c r="V17" s="76" t="s">
        <v>698</v>
      </c>
      <c r="W17" s="82" t="str">
        <f t="shared" ca="1" si="8"/>
        <v/>
      </c>
      <c r="X17" s="91">
        <v>6</v>
      </c>
      <c r="Y17" s="92">
        <f t="shared" ref="Y17:Z17" si="95">Y66+Y106</f>
        <v>60</v>
      </c>
      <c r="Z17" s="93">
        <f t="shared" si="95"/>
        <v>166608.62914285716</v>
      </c>
      <c r="AA17" s="85" t="e">
        <f t="shared" si="9"/>
        <v>#REF!</v>
      </c>
      <c r="AB17" s="79" t="e">
        <f>SUMIFS(#REF!,#REF!,$B17,#REF!,$C17)</f>
        <v>#REF!</v>
      </c>
      <c r="AC17" s="81" t="e">
        <f t="shared" si="10"/>
        <v>#REF!</v>
      </c>
      <c r="AD17" s="79" t="e">
        <f t="shared" si="17"/>
        <v>#REF!</v>
      </c>
      <c r="AE17" s="76" t="e">
        <f>SUMIFS(#REF!,#REF!,$B17,#REF!,$C17)</f>
        <v>#REF!</v>
      </c>
      <c r="AF17" s="94" t="e">
        <f t="shared" si="18"/>
        <v>#REF!</v>
      </c>
      <c r="AG17" s="177"/>
      <c r="AH17" s="95" t="str">
        <f t="shared" ref="AH17:AJ17" ca="1" si="96">IF(MONTH(TODAY())&gt;=$D17,K17-H17,"")</f>
        <v/>
      </c>
      <c r="AI17" s="76" t="str">
        <f t="shared" ca="1" si="96"/>
        <v/>
      </c>
      <c r="AJ17" s="76" t="str">
        <f t="shared" ca="1" si="96"/>
        <v/>
      </c>
      <c r="AK17" s="177"/>
      <c r="AL17" s="76" t="str">
        <f t="shared" ref="AL17:AN17" ca="1" si="97">IF(MONTH(TODAY())&gt;=$D17,AD17-X17,"")</f>
        <v/>
      </c>
      <c r="AM17" s="76" t="str">
        <f t="shared" ca="1" si="97"/>
        <v/>
      </c>
      <c r="AN17" s="76" t="str">
        <f t="shared" ca="1" si="97"/>
        <v/>
      </c>
      <c r="AO17" s="177"/>
      <c r="AP17" s="76" t="str">
        <f t="shared" ref="AP17:AR17" ca="1" si="98">IF(MONTH(TODAY())&gt;=$D17,AD17-AA17,"")</f>
        <v/>
      </c>
      <c r="AQ17" s="76" t="str">
        <f t="shared" ca="1" si="98"/>
        <v/>
      </c>
      <c r="AR17" s="76" t="str">
        <f t="shared" ca="1" si="98"/>
        <v/>
      </c>
    </row>
    <row r="18" spans="2:44" ht="12.75">
      <c r="B18" s="1" t="s">
        <v>729</v>
      </c>
      <c r="C18" s="1" t="s">
        <v>730</v>
      </c>
      <c r="D18" s="40"/>
      <c r="E18" s="97" t="str">
        <f t="shared" si="0"/>
        <v>&gt;=1/1/26</v>
      </c>
      <c r="F18" s="98">
        <v>2025</v>
      </c>
      <c r="G18" s="99" t="s">
        <v>396</v>
      </c>
      <c r="H18" s="100"/>
      <c r="I18" s="100"/>
      <c r="J18" s="101"/>
      <c r="K18" s="102" t="e">
        <f t="shared" si="1"/>
        <v>#REF!</v>
      </c>
      <c r="L18" s="103" t="e">
        <f>SUMIFS(#REF!,#REF!,$B18,#REF!,$C18)</f>
        <v>#REF!</v>
      </c>
      <c r="M18" s="104" t="e">
        <f t="shared" si="2"/>
        <v>#REF!</v>
      </c>
      <c r="N18" s="102" t="e">
        <f t="shared" ref="N18:O18" si="99">COUNTIFS(#REF!,$B18,#REF!,$C18)</f>
        <v>#REF!</v>
      </c>
      <c r="O18" s="99" t="e">
        <f t="shared" si="99"/>
        <v>#REF!</v>
      </c>
      <c r="P18" s="100"/>
      <c r="Q18" s="100"/>
      <c r="R18" s="101"/>
      <c r="S18" s="102" t="e">
        <f t="shared" ref="S18:T18" si="100">COUNTIFS(#REF!,$B18,#REF!,$C18)</f>
        <v>#REF!</v>
      </c>
      <c r="T18" s="99" t="e">
        <f t="shared" si="100"/>
        <v>#REF!</v>
      </c>
      <c r="U18" s="100"/>
      <c r="V18" s="100"/>
      <c r="W18" s="101"/>
      <c r="X18" s="105"/>
      <c r="Y18" s="100"/>
      <c r="Z18" s="106"/>
      <c r="AA18" s="107" t="e">
        <f t="shared" si="9"/>
        <v>#REF!</v>
      </c>
      <c r="AB18" s="102" t="e">
        <f>SUMIFS(#REF!,#REF!,$B18,#REF!,$C18)</f>
        <v>#REF!</v>
      </c>
      <c r="AC18" s="104" t="e">
        <f t="shared" si="10"/>
        <v>#REF!</v>
      </c>
      <c r="AD18" s="105"/>
      <c r="AE18" s="100"/>
      <c r="AF18" s="108"/>
      <c r="AG18" s="177"/>
      <c r="AH18" s="100"/>
      <c r="AI18" s="100"/>
      <c r="AJ18" s="100"/>
      <c r="AK18" s="177"/>
      <c r="AL18" s="100"/>
      <c r="AM18" s="100"/>
      <c r="AN18" s="100"/>
      <c r="AO18" s="177"/>
      <c r="AP18" s="100"/>
      <c r="AQ18" s="100"/>
      <c r="AR18" s="100"/>
    </row>
    <row r="19" spans="2:44" ht="12.75">
      <c r="B19" s="177"/>
      <c r="C19" s="177"/>
      <c r="D19" s="1"/>
      <c r="E19" s="1"/>
      <c r="F19" s="109" t="s">
        <v>731</v>
      </c>
      <c r="G19" s="110">
        <f>SUM(G6:G17)</f>
        <v>1</v>
      </c>
      <c r="H19" s="111">
        <f>X19*J19/Z19</f>
        <v>112.79127675846226</v>
      </c>
      <c r="I19" s="111">
        <f>Y19*J19/Z19</f>
        <v>1491.3513260285565</v>
      </c>
      <c r="J19" s="112">
        <f>SUM(J6:J17)</f>
        <v>3500000</v>
      </c>
      <c r="K19" s="113" t="e">
        <f>SUM(K5:K18)</f>
        <v>#REF!</v>
      </c>
      <c r="L19" s="114" t="e">
        <f t="shared" ref="L19:O19" si="101">SUM(L5:L18)</f>
        <v>#REF!</v>
      </c>
      <c r="M19" s="115" t="e">
        <f t="shared" si="101"/>
        <v>#REF!</v>
      </c>
      <c r="N19" s="113" t="e">
        <f t="shared" si="101"/>
        <v>#REF!</v>
      </c>
      <c r="O19" s="109" t="e">
        <f t="shared" si="101"/>
        <v>#REF!</v>
      </c>
      <c r="P19" s="109" t="e">
        <f t="shared" ref="P19:R19" ca="1" si="102">INDEX(P5:P18,MONTH(TODAY())+1)</f>
        <v>#REF!</v>
      </c>
      <c r="Q19" s="109" t="str">
        <f t="shared" ca="1" si="102"/>
        <v/>
      </c>
      <c r="R19" s="115" t="e">
        <f t="shared" ca="1" si="102"/>
        <v>#REF!</v>
      </c>
      <c r="S19" s="113" t="e">
        <f t="shared" ref="S19:T19" si="103">SUM(S5:S18)</f>
        <v>#REF!</v>
      </c>
      <c r="T19" s="109" t="e">
        <f t="shared" si="103"/>
        <v>#REF!</v>
      </c>
      <c r="U19" s="109" t="e">
        <f t="shared" ref="U19:W19" ca="1" si="104">INDEX(U5:U18,MONTH(TODAY())+1)</f>
        <v>#REF!</v>
      </c>
      <c r="V19" s="109" t="str">
        <f t="shared" ca="1" si="104"/>
        <v/>
      </c>
      <c r="W19" s="115" t="e">
        <f t="shared" ca="1" si="104"/>
        <v>#REF!</v>
      </c>
      <c r="X19" s="116">
        <f t="shared" ref="X19:Y19" si="105">SUM(X5:X18)</f>
        <v>108</v>
      </c>
      <c r="Y19" s="117">
        <f t="shared" si="105"/>
        <v>1428</v>
      </c>
      <c r="Z19" s="118">
        <f>3351323</f>
        <v>3351323</v>
      </c>
      <c r="AA19" s="119" t="e">
        <f t="shared" ref="AA19:AC19" si="106">SUM(AA5:AA18)</f>
        <v>#REF!</v>
      </c>
      <c r="AB19" s="109" t="e">
        <f t="shared" si="106"/>
        <v>#REF!</v>
      </c>
      <c r="AC19" s="115" t="e">
        <f t="shared" si="106"/>
        <v>#REF!</v>
      </c>
      <c r="AD19" s="113" t="e">
        <f>SUM(AD6:AD17)</f>
        <v>#REF!</v>
      </c>
      <c r="AE19" s="109" t="e">
        <f t="shared" ref="AE19:AF19" si="107">SUM(AE5:AE18)</f>
        <v>#REF!</v>
      </c>
      <c r="AF19" s="109" t="e">
        <f t="shared" si="107"/>
        <v>#REF!</v>
      </c>
      <c r="AG19" s="177"/>
      <c r="AH19" s="120" t="e">
        <f t="shared" ref="AH19:AJ19" ca="1" si="108">SUM(AH6:AH17)</f>
        <v>#REF!</v>
      </c>
      <c r="AI19" s="109" t="e">
        <f t="shared" ca="1" si="108"/>
        <v>#REF!</v>
      </c>
      <c r="AJ19" s="109" t="e">
        <f t="shared" ca="1" si="108"/>
        <v>#REF!</v>
      </c>
      <c r="AK19" s="177"/>
      <c r="AL19" s="109" t="e">
        <f t="shared" ref="AL19:AN19" ca="1" si="109">SUM(AL5:AL18)</f>
        <v>#REF!</v>
      </c>
      <c r="AM19" s="109" t="e">
        <f t="shared" ca="1" si="109"/>
        <v>#REF!</v>
      </c>
      <c r="AN19" s="121" t="e">
        <f t="shared" ca="1" si="109"/>
        <v>#REF!</v>
      </c>
      <c r="AO19" s="177"/>
      <c r="AP19" s="109" t="e">
        <f t="shared" ref="AP19:AR19" ca="1" si="110">SUM(AP5:AP18)</f>
        <v>#REF!</v>
      </c>
      <c r="AQ19" s="109" t="e">
        <f t="shared" ca="1" si="110"/>
        <v>#REF!</v>
      </c>
      <c r="AR19" s="109" t="e">
        <f t="shared" ca="1" si="110"/>
        <v>#REF!</v>
      </c>
    </row>
    <row r="20" spans="2:44" ht="12.75">
      <c r="B20" s="177"/>
      <c r="C20" s="177"/>
      <c r="D20" s="1"/>
      <c r="E20" s="1"/>
      <c r="F20" s="76" t="s">
        <v>732</v>
      </c>
      <c r="G20" s="122">
        <f>SUM(G6:G17)</f>
        <v>1</v>
      </c>
      <c r="H20" s="77"/>
      <c r="I20" s="77"/>
      <c r="J20" s="78"/>
      <c r="K20" s="79" t="e">
        <f t="shared" ref="K20:O20" si="111">SUM(K6:K17)</f>
        <v>#REF!</v>
      </c>
      <c r="L20" s="80" t="e">
        <f t="shared" si="111"/>
        <v>#REF!</v>
      </c>
      <c r="M20" s="82" t="e">
        <f t="shared" si="111"/>
        <v>#REF!</v>
      </c>
      <c r="N20" s="79" t="e">
        <f t="shared" si="111"/>
        <v>#REF!</v>
      </c>
      <c r="O20" s="76" t="e">
        <f t="shared" si="111"/>
        <v>#REF!</v>
      </c>
      <c r="P20" s="77"/>
      <c r="Q20" s="77"/>
      <c r="R20" s="78"/>
      <c r="S20" s="79" t="e">
        <f t="shared" ref="S20:T20" si="112">SUM(S6:S17)</f>
        <v>#REF!</v>
      </c>
      <c r="T20" s="76" t="e">
        <f t="shared" si="112"/>
        <v>#REF!</v>
      </c>
      <c r="U20" s="77"/>
      <c r="V20" s="77"/>
      <c r="W20" s="78"/>
      <c r="X20" s="83"/>
      <c r="Y20" s="77"/>
      <c r="Z20" s="78"/>
      <c r="AA20" s="79" t="e">
        <f t="shared" ref="AA20:AC20" si="113">SUM(AA6:AA17)</f>
        <v>#REF!</v>
      </c>
      <c r="AB20" s="76" t="e">
        <f t="shared" si="113"/>
        <v>#REF!</v>
      </c>
      <c r="AC20" s="82" t="e">
        <f t="shared" si="113"/>
        <v>#REF!</v>
      </c>
      <c r="AD20" s="83"/>
      <c r="AE20" s="77"/>
      <c r="AF20" s="77"/>
      <c r="AG20" s="76"/>
      <c r="AH20" s="77"/>
      <c r="AI20" s="77"/>
      <c r="AJ20" s="77"/>
      <c r="AK20" s="76"/>
      <c r="AL20" s="77"/>
      <c r="AM20" s="77"/>
      <c r="AN20" s="77"/>
      <c r="AO20" s="76"/>
      <c r="AP20" s="76" t="e">
        <f t="shared" ref="AP20:AR20" ca="1" si="114">SUM(AP6:AP17)</f>
        <v>#REF!</v>
      </c>
      <c r="AQ20" s="76" t="e">
        <f t="shared" ca="1" si="114"/>
        <v>#REF!</v>
      </c>
      <c r="AR20" s="76" t="e">
        <f t="shared" ca="1" si="114"/>
        <v>#REF!</v>
      </c>
    </row>
    <row r="21" spans="2:44" ht="12.75">
      <c r="B21" s="177"/>
      <c r="C21" s="177"/>
      <c r="D21" s="177"/>
      <c r="E21" s="177"/>
      <c r="F21" s="177"/>
      <c r="G21" s="1"/>
      <c r="H21" s="1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</row>
    <row r="22" spans="2:44" ht="12.75">
      <c r="B22" s="177"/>
      <c r="C22" s="177"/>
      <c r="D22" s="177"/>
      <c r="E22" s="177"/>
      <c r="F22" s="177"/>
      <c r="G22" s="1"/>
      <c r="H22" s="1" t="s">
        <v>733</v>
      </c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89"/>
      <c r="AI22" s="189"/>
      <c r="AJ22" s="189"/>
      <c r="AK22" s="177"/>
      <c r="AL22" s="177"/>
      <c r="AM22" s="177"/>
      <c r="AN22" s="177"/>
      <c r="AO22" s="177"/>
      <c r="AP22" s="177"/>
      <c r="AQ22" s="177"/>
      <c r="AR22" s="177"/>
    </row>
    <row r="23" spans="2:44" ht="12.75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" t="s">
        <v>734</v>
      </c>
      <c r="M23" s="177"/>
      <c r="N23" s="1"/>
      <c r="O23" s="1"/>
      <c r="P23" s="177"/>
      <c r="Q23" s="1"/>
      <c r="R23" s="1"/>
      <c r="S23" s="1"/>
      <c r="T23" s="1"/>
      <c r="U23" s="1"/>
      <c r="V23" s="1"/>
      <c r="W23" s="1"/>
      <c r="X23" s="1" t="s">
        <v>735</v>
      </c>
      <c r="Y23" s="177"/>
      <c r="Z23" s="177"/>
      <c r="AA23" s="177"/>
      <c r="AB23" s="177"/>
      <c r="AC23" s="177"/>
      <c r="AD23" s="177"/>
      <c r="AE23" s="177"/>
      <c r="AF23" s="177"/>
      <c r="AG23" s="177"/>
      <c r="AH23" s="196" t="s">
        <v>736</v>
      </c>
      <c r="AI23" s="195"/>
      <c r="AJ23" s="195"/>
      <c r="AK23" s="189"/>
      <c r="AL23" s="196" t="s">
        <v>737</v>
      </c>
      <c r="AM23" s="195"/>
      <c r="AN23" s="195"/>
      <c r="AO23" s="177"/>
      <c r="AP23" s="196" t="s">
        <v>738</v>
      </c>
      <c r="AQ23" s="195"/>
      <c r="AR23" s="195"/>
    </row>
    <row r="24" spans="2:44" ht="12.75">
      <c r="B24" s="177"/>
      <c r="C24" s="177"/>
      <c r="D24" s="177"/>
      <c r="E24" s="177"/>
      <c r="F24" s="177"/>
      <c r="G24" s="1"/>
      <c r="H24" s="1" t="s">
        <v>739</v>
      </c>
      <c r="I24" s="177"/>
      <c r="J24" s="177"/>
      <c r="K24" s="177"/>
      <c r="L24" s="177"/>
      <c r="M24" s="177"/>
      <c r="N24" s="1"/>
      <c r="O24" s="1"/>
      <c r="P24" s="177"/>
      <c r="Q24" s="1"/>
      <c r="R24" s="1"/>
      <c r="S24" s="1"/>
      <c r="T24" s="1"/>
      <c r="U24" s="1"/>
      <c r="V24" s="1"/>
      <c r="W24" s="1"/>
      <c r="X24" s="1" t="s">
        <v>740</v>
      </c>
      <c r="Y24" s="177"/>
      <c r="Z24" s="177"/>
      <c r="AA24" s="177"/>
      <c r="AB24" s="177"/>
      <c r="AC24" s="177"/>
      <c r="AD24" s="177"/>
      <c r="AE24" s="177"/>
      <c r="AF24" s="177"/>
      <c r="AG24" s="177"/>
      <c r="AH24" s="195"/>
      <c r="AI24" s="195"/>
      <c r="AJ24" s="195"/>
      <c r="AK24" s="189"/>
      <c r="AL24" s="195"/>
      <c r="AM24" s="195"/>
      <c r="AN24" s="195"/>
      <c r="AO24" s="177"/>
      <c r="AP24" s="195"/>
      <c r="AQ24" s="195"/>
      <c r="AR24" s="195"/>
    </row>
    <row r="25" spans="2:44" ht="12.75">
      <c r="B25" s="177"/>
      <c r="C25" s="177"/>
      <c r="D25" s="177"/>
      <c r="E25" s="177"/>
      <c r="F25" s="177"/>
      <c r="G25" s="188"/>
      <c r="H25" s="198" t="s">
        <v>741</v>
      </c>
      <c r="I25" s="195"/>
      <c r="J25" s="195"/>
      <c r="K25" s="177"/>
      <c r="L25" s="177"/>
      <c r="M25" s="177"/>
      <c r="N25" s="1"/>
      <c r="O25" s="1"/>
      <c r="P25" s="1"/>
      <c r="Q25" s="1"/>
      <c r="R25" s="1"/>
      <c r="S25" s="1"/>
      <c r="T25" s="1"/>
      <c r="U25" s="1"/>
      <c r="V25" s="1"/>
      <c r="W25" s="1"/>
      <c r="X25" s="1" t="s">
        <v>742</v>
      </c>
      <c r="Y25" s="177"/>
      <c r="Z25" s="177"/>
      <c r="AA25" s="177"/>
      <c r="AB25" s="177"/>
      <c r="AC25" s="177"/>
      <c r="AD25" s="177"/>
      <c r="AE25" s="177"/>
      <c r="AF25" s="177"/>
      <c r="AG25" s="177"/>
      <c r="AH25" s="195"/>
      <c r="AI25" s="195"/>
      <c r="AJ25" s="195"/>
      <c r="AK25" s="189"/>
      <c r="AL25" s="195"/>
      <c r="AM25" s="195"/>
      <c r="AN25" s="195"/>
      <c r="AO25" s="177"/>
      <c r="AP25" s="195"/>
      <c r="AQ25" s="195"/>
      <c r="AR25" s="195"/>
    </row>
    <row r="26" spans="2:44" ht="12.75">
      <c r="B26" s="177"/>
      <c r="C26" s="177"/>
      <c r="D26" s="177"/>
      <c r="E26" s="177"/>
      <c r="F26" s="177"/>
      <c r="G26" s="188"/>
      <c r="H26" s="195"/>
      <c r="I26" s="195"/>
      <c r="J26" s="195"/>
      <c r="K26" s="177"/>
      <c r="L26" s="177"/>
      <c r="M26" s="177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7" t="s">
        <v>743</v>
      </c>
      <c r="Y26" s="195"/>
      <c r="Z26" s="195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95"/>
      <c r="AQ26" s="195"/>
      <c r="AR26" s="195"/>
    </row>
    <row r="27" spans="2:44" ht="12.75">
      <c r="B27" s="177"/>
      <c r="C27" s="177"/>
      <c r="D27" s="177"/>
      <c r="E27" s="177"/>
      <c r="F27" s="177"/>
      <c r="G27" s="188"/>
      <c r="H27" s="195"/>
      <c r="I27" s="195"/>
      <c r="J27" s="195"/>
      <c r="K27" s="177"/>
      <c r="L27" s="177"/>
      <c r="M27" s="177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5"/>
      <c r="Y27" s="195"/>
      <c r="Z27" s="195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</row>
    <row r="28" spans="2:44" ht="12.75"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98" t="s">
        <v>744</v>
      </c>
      <c r="Y28" s="195"/>
      <c r="Z28" s="195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</row>
    <row r="29" spans="2:44" ht="12.75">
      <c r="B29" s="177"/>
      <c r="C29" s="177"/>
      <c r="D29" s="177"/>
      <c r="E29" s="177"/>
      <c r="F29" s="177"/>
      <c r="G29" s="177"/>
      <c r="H29" s="198" t="s">
        <v>744</v>
      </c>
      <c r="I29" s="195"/>
      <c r="J29" s="195"/>
      <c r="K29" s="177"/>
      <c r="L29" s="177"/>
      <c r="M29" s="177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95"/>
      <c r="Y29" s="195"/>
      <c r="Z29" s="195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</row>
    <row r="30" spans="2:44" ht="15.75" customHeight="1">
      <c r="B30" s="177"/>
      <c r="C30" s="177"/>
      <c r="D30" s="177"/>
      <c r="E30" s="177"/>
      <c r="F30" s="177"/>
      <c r="G30" s="177"/>
      <c r="H30" s="195"/>
      <c r="I30" s="195"/>
      <c r="J30" s="195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</row>
    <row r="33" spans="4:40" ht="12.75"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204" t="s">
        <v>745</v>
      </c>
      <c r="AI33" s="205"/>
      <c r="AJ33" s="206"/>
      <c r="AK33" s="177"/>
      <c r="AL33" s="204" t="s">
        <v>746</v>
      </c>
      <c r="AM33" s="205"/>
      <c r="AN33" s="206"/>
    </row>
    <row r="34" spans="4:40" ht="36" customHeight="1">
      <c r="D34" s="63"/>
      <c r="E34" s="63"/>
      <c r="F34" s="64" t="s">
        <v>673</v>
      </c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" t="s">
        <v>747</v>
      </c>
      <c r="AG34" s="177"/>
      <c r="AH34" s="207" t="s">
        <v>748</v>
      </c>
      <c r="AI34" s="200"/>
      <c r="AJ34" s="203"/>
      <c r="AK34" s="177"/>
      <c r="AL34" s="208" t="s">
        <v>749</v>
      </c>
      <c r="AM34" s="205"/>
      <c r="AN34" s="206"/>
    </row>
    <row r="35" spans="4:40" ht="12.75">
      <c r="D35" s="60"/>
      <c r="E35" s="60"/>
      <c r="F35" s="87" t="s">
        <v>694</v>
      </c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">
        <v>12</v>
      </c>
      <c r="AG35" s="177"/>
      <c r="AH35" s="123" t="str">
        <f t="shared" ref="AH35:AH46" ca="1" si="115">IF(MONTH(TODAY())=$D6,$AH$47/$AF35,"")</f>
        <v/>
      </c>
      <c r="AI35" s="80" t="str">
        <f t="shared" ref="AI35:AI46" ca="1" si="116">IF(MONTH(TODAY())=$D6,$AI$47/$AF35,"")</f>
        <v/>
      </c>
      <c r="AJ35" s="76" t="str">
        <f t="shared" ref="AJ35:AJ46" ca="1" si="117">IF(MONTH(TODAY())=$D6,$AJ$47/$AF35,"")</f>
        <v/>
      </c>
      <c r="AK35" s="177"/>
      <c r="AL35" s="76" t="str">
        <f t="shared" ref="AL35:AL46" ca="1" si="118">IF(MONTH(TODAY())=$D6,$AL$47/$AF35,"")</f>
        <v/>
      </c>
      <c r="AM35" s="80" t="str">
        <f t="shared" ref="AM35:AM46" ca="1" si="119">IF(MONTH(TODAY())=$D6,$AM$47/$AF35,"")</f>
        <v/>
      </c>
      <c r="AN35" s="76" t="str">
        <f t="shared" ref="AN35:AN46" ca="1" si="120">IF(MONTH(TODAY())=$D6,$AN$47/AF35,"")</f>
        <v/>
      </c>
    </row>
    <row r="36" spans="4:40" ht="12.75">
      <c r="D36" s="60"/>
      <c r="E36" s="60"/>
      <c r="F36" s="87" t="s">
        <v>697</v>
      </c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">
        <v>11</v>
      </c>
      <c r="AG36" s="177"/>
      <c r="AH36" s="123" t="str">
        <f t="shared" ca="1" si="115"/>
        <v/>
      </c>
      <c r="AI36" s="80" t="str">
        <f t="shared" ca="1" si="116"/>
        <v/>
      </c>
      <c r="AJ36" s="76" t="str">
        <f t="shared" ca="1" si="117"/>
        <v/>
      </c>
      <c r="AK36" s="177"/>
      <c r="AL36" s="76" t="str">
        <f t="shared" ca="1" si="118"/>
        <v/>
      </c>
      <c r="AM36" s="80" t="str">
        <f t="shared" ca="1" si="119"/>
        <v/>
      </c>
      <c r="AN36" s="76" t="str">
        <f t="shared" ca="1" si="120"/>
        <v/>
      </c>
    </row>
    <row r="37" spans="4:40" ht="12.75">
      <c r="D37" s="60"/>
      <c r="E37" s="60"/>
      <c r="F37" s="87" t="s">
        <v>701</v>
      </c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">
        <v>10</v>
      </c>
      <c r="AG37" s="177"/>
      <c r="AH37" s="123" t="e">
        <f t="shared" ca="1" si="115"/>
        <v>#REF!</v>
      </c>
      <c r="AI37" s="80" t="e">
        <f t="shared" ca="1" si="116"/>
        <v>#REF!</v>
      </c>
      <c r="AJ37" s="76" t="e">
        <f t="shared" ca="1" si="117"/>
        <v>#REF!</v>
      </c>
      <c r="AK37" s="177"/>
      <c r="AL37" s="76" t="e">
        <f t="shared" ca="1" si="118"/>
        <v>#REF!</v>
      </c>
      <c r="AM37" s="80" t="e">
        <f t="shared" ca="1" si="119"/>
        <v>#REF!</v>
      </c>
      <c r="AN37" s="76" t="e">
        <f t="shared" ca="1" si="120"/>
        <v>#REF!</v>
      </c>
    </row>
    <row r="38" spans="4:40" ht="12.75">
      <c r="D38" s="60"/>
      <c r="E38" s="60"/>
      <c r="F38" s="87" t="s">
        <v>704</v>
      </c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">
        <v>9</v>
      </c>
      <c r="AG38" s="177"/>
      <c r="AH38" s="123" t="str">
        <f t="shared" ca="1" si="115"/>
        <v/>
      </c>
      <c r="AI38" s="80" t="str">
        <f t="shared" ca="1" si="116"/>
        <v/>
      </c>
      <c r="AJ38" s="76" t="str">
        <f t="shared" ca="1" si="117"/>
        <v/>
      </c>
      <c r="AK38" s="177"/>
      <c r="AL38" s="76" t="str">
        <f t="shared" ca="1" si="118"/>
        <v/>
      </c>
      <c r="AM38" s="80" t="str">
        <f t="shared" ca="1" si="119"/>
        <v/>
      </c>
      <c r="AN38" s="76" t="str">
        <f t="shared" ca="1" si="120"/>
        <v/>
      </c>
    </row>
    <row r="39" spans="4:40" ht="12.75">
      <c r="D39" s="60"/>
      <c r="E39" s="60"/>
      <c r="F39" s="87" t="s">
        <v>707</v>
      </c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">
        <v>8</v>
      </c>
      <c r="AG39" s="177"/>
      <c r="AH39" s="123" t="str">
        <f t="shared" ca="1" si="115"/>
        <v/>
      </c>
      <c r="AI39" s="80" t="str">
        <f t="shared" ca="1" si="116"/>
        <v/>
      </c>
      <c r="AJ39" s="76" t="str">
        <f t="shared" ca="1" si="117"/>
        <v/>
      </c>
      <c r="AK39" s="177"/>
      <c r="AL39" s="76" t="str">
        <f t="shared" ca="1" si="118"/>
        <v/>
      </c>
      <c r="AM39" s="80" t="str">
        <f t="shared" ca="1" si="119"/>
        <v/>
      </c>
      <c r="AN39" s="76" t="str">
        <f t="shared" ca="1" si="120"/>
        <v/>
      </c>
    </row>
    <row r="40" spans="4:40" ht="12.75">
      <c r="D40" s="60"/>
      <c r="E40" s="60"/>
      <c r="F40" s="87" t="s">
        <v>710</v>
      </c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">
        <v>7</v>
      </c>
      <c r="AG40" s="177"/>
      <c r="AH40" s="123" t="str">
        <f t="shared" ca="1" si="115"/>
        <v/>
      </c>
      <c r="AI40" s="80" t="str">
        <f t="shared" ca="1" si="116"/>
        <v/>
      </c>
      <c r="AJ40" s="76" t="str">
        <f t="shared" ca="1" si="117"/>
        <v/>
      </c>
      <c r="AK40" s="177"/>
      <c r="AL40" s="76" t="str">
        <f t="shared" ca="1" si="118"/>
        <v/>
      </c>
      <c r="AM40" s="80" t="str">
        <f t="shared" ca="1" si="119"/>
        <v/>
      </c>
      <c r="AN40" s="76" t="str">
        <f t="shared" ca="1" si="120"/>
        <v/>
      </c>
    </row>
    <row r="41" spans="4:40" ht="12.75">
      <c r="D41" s="60"/>
      <c r="E41" s="60"/>
      <c r="F41" s="87" t="s">
        <v>713</v>
      </c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">
        <v>6</v>
      </c>
      <c r="AG41" s="177"/>
      <c r="AH41" s="123" t="str">
        <f t="shared" ca="1" si="115"/>
        <v/>
      </c>
      <c r="AI41" s="80" t="str">
        <f t="shared" ca="1" si="116"/>
        <v/>
      </c>
      <c r="AJ41" s="76" t="str">
        <f t="shared" ca="1" si="117"/>
        <v/>
      </c>
      <c r="AK41" s="177"/>
      <c r="AL41" s="76" t="str">
        <f t="shared" ca="1" si="118"/>
        <v/>
      </c>
      <c r="AM41" s="80" t="str">
        <f t="shared" ca="1" si="119"/>
        <v/>
      </c>
      <c r="AN41" s="76" t="str">
        <f t="shared" ca="1" si="120"/>
        <v/>
      </c>
    </row>
    <row r="42" spans="4:40" ht="12.75">
      <c r="D42" s="60"/>
      <c r="E42" s="60"/>
      <c r="F42" s="87" t="s">
        <v>716</v>
      </c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">
        <v>5</v>
      </c>
      <c r="AG42" s="177"/>
      <c r="AH42" s="123" t="str">
        <f t="shared" ca="1" si="115"/>
        <v/>
      </c>
      <c r="AI42" s="80" t="str">
        <f t="shared" ca="1" si="116"/>
        <v/>
      </c>
      <c r="AJ42" s="76" t="str">
        <f t="shared" ca="1" si="117"/>
        <v/>
      </c>
      <c r="AK42" s="177"/>
      <c r="AL42" s="76" t="str">
        <f t="shared" ca="1" si="118"/>
        <v/>
      </c>
      <c r="AM42" s="80" t="str">
        <f t="shared" ca="1" si="119"/>
        <v/>
      </c>
      <c r="AN42" s="76" t="str">
        <f t="shared" ca="1" si="120"/>
        <v/>
      </c>
    </row>
    <row r="43" spans="4:40" ht="12.75">
      <c r="D43" s="60"/>
      <c r="E43" s="60"/>
      <c r="F43" s="87" t="s">
        <v>719</v>
      </c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">
        <v>4</v>
      </c>
      <c r="AG43" s="177"/>
      <c r="AH43" s="123" t="str">
        <f t="shared" ca="1" si="115"/>
        <v/>
      </c>
      <c r="AI43" s="80" t="str">
        <f t="shared" ca="1" si="116"/>
        <v/>
      </c>
      <c r="AJ43" s="76" t="str">
        <f t="shared" ca="1" si="117"/>
        <v/>
      </c>
      <c r="AK43" s="177"/>
      <c r="AL43" s="76" t="str">
        <f t="shared" ca="1" si="118"/>
        <v/>
      </c>
      <c r="AM43" s="80" t="str">
        <f t="shared" ca="1" si="119"/>
        <v/>
      </c>
      <c r="AN43" s="76" t="str">
        <f t="shared" ca="1" si="120"/>
        <v/>
      </c>
    </row>
    <row r="44" spans="4:40" ht="12.75">
      <c r="D44" s="60"/>
      <c r="E44" s="60"/>
      <c r="F44" s="87" t="s">
        <v>722</v>
      </c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">
        <v>3</v>
      </c>
      <c r="AG44" s="177"/>
      <c r="AH44" s="123" t="str">
        <f t="shared" ca="1" si="115"/>
        <v/>
      </c>
      <c r="AI44" s="80" t="str">
        <f t="shared" ca="1" si="116"/>
        <v/>
      </c>
      <c r="AJ44" s="76" t="str">
        <f t="shared" ca="1" si="117"/>
        <v/>
      </c>
      <c r="AK44" s="177"/>
      <c r="AL44" s="76" t="str">
        <f t="shared" ca="1" si="118"/>
        <v/>
      </c>
      <c r="AM44" s="80" t="str">
        <f t="shared" ca="1" si="119"/>
        <v/>
      </c>
      <c r="AN44" s="76" t="str">
        <f t="shared" ca="1" si="120"/>
        <v/>
      </c>
    </row>
    <row r="45" spans="4:40" ht="12.75">
      <c r="D45" s="60"/>
      <c r="E45" s="60"/>
      <c r="F45" s="87" t="s">
        <v>725</v>
      </c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">
        <v>2</v>
      </c>
      <c r="AG45" s="177"/>
      <c r="AH45" s="123" t="str">
        <f t="shared" ca="1" si="115"/>
        <v/>
      </c>
      <c r="AI45" s="80" t="str">
        <f t="shared" ca="1" si="116"/>
        <v/>
      </c>
      <c r="AJ45" s="76" t="str">
        <f t="shared" ca="1" si="117"/>
        <v/>
      </c>
      <c r="AK45" s="177"/>
      <c r="AL45" s="76" t="str">
        <f t="shared" ca="1" si="118"/>
        <v/>
      </c>
      <c r="AM45" s="80" t="str">
        <f t="shared" ca="1" si="119"/>
        <v/>
      </c>
      <c r="AN45" s="76" t="str">
        <f t="shared" ca="1" si="120"/>
        <v/>
      </c>
    </row>
    <row r="46" spans="4:40" ht="12.75">
      <c r="D46" s="60"/>
      <c r="E46" s="60"/>
      <c r="F46" s="96" t="s">
        <v>728</v>
      </c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">
        <v>1</v>
      </c>
      <c r="AG46" s="177"/>
      <c r="AH46" s="124" t="str">
        <f t="shared" ca="1" si="115"/>
        <v/>
      </c>
      <c r="AI46" s="103" t="str">
        <f t="shared" ca="1" si="116"/>
        <v/>
      </c>
      <c r="AJ46" s="99" t="str">
        <f t="shared" ca="1" si="117"/>
        <v/>
      </c>
      <c r="AK46" s="177"/>
      <c r="AL46" s="99" t="str">
        <f t="shared" ca="1" si="118"/>
        <v/>
      </c>
      <c r="AM46" s="103" t="str">
        <f t="shared" ca="1" si="119"/>
        <v/>
      </c>
      <c r="AN46" s="99" t="str">
        <f t="shared" ca="1" si="120"/>
        <v/>
      </c>
    </row>
    <row r="47" spans="4:40" ht="12.75">
      <c r="D47" s="1"/>
      <c r="E47" s="1"/>
      <c r="F47" s="76" t="s">
        <v>731</v>
      </c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20" t="e">
        <f t="shared" ref="AH47:AJ47" si="121">H19-K20</f>
        <v>#REF!</v>
      </c>
      <c r="AI47" s="109" t="e">
        <f t="shared" si="121"/>
        <v>#REF!</v>
      </c>
      <c r="AJ47" s="109" t="e">
        <f t="shared" si="121"/>
        <v>#REF!</v>
      </c>
      <c r="AK47" s="177"/>
      <c r="AL47" s="109" t="e">
        <f t="shared" ref="AL47:AN47" si="122">X19-AD19</f>
        <v>#REF!</v>
      </c>
      <c r="AM47" s="109" t="e">
        <f t="shared" si="122"/>
        <v>#REF!</v>
      </c>
      <c r="AN47" s="109" t="e">
        <f t="shared" si="122"/>
        <v>#REF!</v>
      </c>
    </row>
    <row r="49" spans="2:44" ht="12.75"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90"/>
      <c r="AI49" s="190"/>
      <c r="AJ49" s="190"/>
      <c r="AK49" s="177"/>
      <c r="AL49" s="177"/>
      <c r="AM49" s="177"/>
      <c r="AN49" s="177"/>
      <c r="AO49" s="177"/>
      <c r="AP49" s="177"/>
      <c r="AQ49" s="177"/>
      <c r="AR49" s="177"/>
    </row>
    <row r="50" spans="2:44" ht="12.75">
      <c r="B50" s="177"/>
      <c r="C50" s="177"/>
      <c r="D50" s="177"/>
      <c r="E50" s="177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6"/>
      <c r="AI50" s="126"/>
      <c r="AJ50" s="126"/>
      <c r="AK50" s="125"/>
      <c r="AL50" s="125"/>
      <c r="AM50" s="125"/>
      <c r="AN50" s="125"/>
      <c r="AO50" s="125"/>
      <c r="AP50" s="125"/>
      <c r="AQ50" s="125"/>
      <c r="AR50" s="125"/>
    </row>
    <row r="51" spans="2:44" ht="18">
      <c r="B51" s="177"/>
      <c r="C51" s="177"/>
      <c r="D51" s="177"/>
      <c r="E51" s="177"/>
      <c r="F51" s="177"/>
      <c r="G51" s="177"/>
      <c r="H51" s="209" t="s">
        <v>750</v>
      </c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  <c r="AR51" s="206"/>
    </row>
    <row r="52" spans="2:44" ht="12.75">
      <c r="B52" s="177"/>
      <c r="C52" s="177"/>
      <c r="D52" s="177"/>
      <c r="E52" s="177"/>
      <c r="F52" s="177"/>
      <c r="G52" s="177"/>
      <c r="H52" s="210" t="s">
        <v>663</v>
      </c>
      <c r="I52" s="200"/>
      <c r="J52" s="203"/>
      <c r="K52" s="214" t="s">
        <v>751</v>
      </c>
      <c r="L52" s="200"/>
      <c r="M52" s="201"/>
      <c r="N52" s="211" t="s">
        <v>665</v>
      </c>
      <c r="O52" s="205"/>
      <c r="P52" s="205"/>
      <c r="Q52" s="205"/>
      <c r="R52" s="213"/>
      <c r="S52" s="211" t="s">
        <v>666</v>
      </c>
      <c r="T52" s="205"/>
      <c r="U52" s="205"/>
      <c r="V52" s="205"/>
      <c r="W52" s="213"/>
      <c r="X52" s="199" t="s">
        <v>667</v>
      </c>
      <c r="Y52" s="200"/>
      <c r="Z52" s="201"/>
      <c r="AA52" s="199" t="s">
        <v>752</v>
      </c>
      <c r="AB52" s="200"/>
      <c r="AC52" s="201"/>
      <c r="AD52" s="199" t="s">
        <v>753</v>
      </c>
      <c r="AE52" s="200"/>
      <c r="AF52" s="203"/>
      <c r="AG52" s="177"/>
      <c r="AH52" s="202" t="s">
        <v>670</v>
      </c>
      <c r="AI52" s="200"/>
      <c r="AJ52" s="203"/>
      <c r="AK52" s="40"/>
      <c r="AL52" s="202" t="s">
        <v>671</v>
      </c>
      <c r="AM52" s="200"/>
      <c r="AN52" s="203"/>
      <c r="AO52" s="177"/>
      <c r="AP52" s="202" t="s">
        <v>672</v>
      </c>
      <c r="AQ52" s="200"/>
      <c r="AR52" s="203"/>
    </row>
    <row r="53" spans="2:44" ht="89.25">
      <c r="B53" s="177"/>
      <c r="C53" s="177"/>
      <c r="D53" s="63"/>
      <c r="E53" s="63"/>
      <c r="F53" s="64" t="s">
        <v>673</v>
      </c>
      <c r="G53" s="65" t="s">
        <v>754</v>
      </c>
      <c r="H53" s="66" t="s">
        <v>675</v>
      </c>
      <c r="I53" s="67" t="s">
        <v>676</v>
      </c>
      <c r="J53" s="68" t="s">
        <v>677</v>
      </c>
      <c r="K53" s="127" t="s">
        <v>675</v>
      </c>
      <c r="L53" s="67" t="s">
        <v>676</v>
      </c>
      <c r="M53" s="68" t="s">
        <v>677</v>
      </c>
      <c r="N53" s="70" t="s">
        <v>678</v>
      </c>
      <c r="O53" s="71" t="s">
        <v>679</v>
      </c>
      <c r="P53" s="71" t="s">
        <v>680</v>
      </c>
      <c r="Q53" s="71" t="s">
        <v>681</v>
      </c>
      <c r="R53" s="68" t="s">
        <v>682</v>
      </c>
      <c r="S53" s="70" t="s">
        <v>683</v>
      </c>
      <c r="T53" s="71" t="s">
        <v>684</v>
      </c>
      <c r="U53" s="71" t="s">
        <v>685</v>
      </c>
      <c r="V53" s="71" t="s">
        <v>686</v>
      </c>
      <c r="W53" s="68" t="s">
        <v>687</v>
      </c>
      <c r="X53" s="72" t="s">
        <v>688</v>
      </c>
      <c r="Y53" s="74" t="s">
        <v>581</v>
      </c>
      <c r="Z53" s="68" t="s">
        <v>689</v>
      </c>
      <c r="AA53" s="72" t="s">
        <v>688</v>
      </c>
      <c r="AB53" s="74" t="s">
        <v>581</v>
      </c>
      <c r="AC53" s="68" t="s">
        <v>689</v>
      </c>
      <c r="AD53" s="74" t="s">
        <v>688</v>
      </c>
      <c r="AE53" s="73" t="s">
        <v>581</v>
      </c>
      <c r="AF53" s="71" t="s">
        <v>689</v>
      </c>
      <c r="AG53" s="177"/>
      <c r="AH53" s="73" t="s">
        <v>675</v>
      </c>
      <c r="AI53" s="73" t="s">
        <v>676</v>
      </c>
      <c r="AJ53" s="71" t="s">
        <v>677</v>
      </c>
      <c r="AK53" s="36"/>
      <c r="AL53" s="73" t="s">
        <v>688</v>
      </c>
      <c r="AM53" s="73" t="s">
        <v>581</v>
      </c>
      <c r="AN53" s="71" t="s">
        <v>689</v>
      </c>
      <c r="AO53" s="177"/>
      <c r="AP53" s="73" t="s">
        <v>688</v>
      </c>
      <c r="AQ53" s="73" t="s">
        <v>581</v>
      </c>
      <c r="AR53" s="71" t="s">
        <v>689</v>
      </c>
    </row>
    <row r="54" spans="2:44" ht="12.75">
      <c r="B54" s="1" t="s">
        <v>690</v>
      </c>
      <c r="C54" s="1" t="s">
        <v>691</v>
      </c>
      <c r="D54" s="61">
        <v>0</v>
      </c>
      <c r="E54" s="178" t="str">
        <f t="shared" ref="E54:E67" si="123">CONCATENATE(LEFT(B54,FIND("&gt;=",B54) + 1),RIGHT(C54,LEN(C54) - (FIND("&lt;",C54))))</f>
        <v>&gt;=1/1/24</v>
      </c>
      <c r="F54" s="75">
        <v>2023</v>
      </c>
      <c r="G54" s="76" t="s">
        <v>396</v>
      </c>
      <c r="H54" s="77"/>
      <c r="I54" s="77"/>
      <c r="J54" s="78"/>
      <c r="K54" s="128" t="e">
        <f t="shared" ref="K54:K67" si="124">COUNTIFS(#REF!,$B54,#REF!,$C54,#REF!,$H$51)</f>
        <v>#REF!</v>
      </c>
      <c r="L54" s="76" t="e">
        <f>SUMIFS(#REF!,#REF!,$B54,#REF!,$C54,#REF!,$H$51)</f>
        <v>#REF!</v>
      </c>
      <c r="M54" s="81" t="e">
        <f t="shared" ref="M54:M67" si="125">SUMIFS(#REF!,#REF!,$B54,#REF!,$C54,#REF!,$H$51)</f>
        <v>#REF!</v>
      </c>
      <c r="N54" s="129" t="e">
        <f t="shared" ref="N54:N66" si="126">COUNTIFS(#REF!,$B5,#REF!,$C5,#REF!,$H$51)</f>
        <v>#REF!</v>
      </c>
      <c r="O54" s="76" t="e">
        <f t="shared" ref="O54:O66" si="127">COUNTIFS(#REF!,$B54,#REF!,$C54,#REF!,$H$51)</f>
        <v>#REF!</v>
      </c>
      <c r="P54" s="76" t="e">
        <f t="shared" ref="P54:P66" ca="1" si="128">IF(MONTH(TODAY())&gt;=$D5,COUNTIFS(#REF!,$C54,#REF!,$H$51)-COUNTIFS(#REF!,$C54,#REF!,$H$51),"")</f>
        <v>#REF!</v>
      </c>
      <c r="Q54" s="76">
        <v>0</v>
      </c>
      <c r="R54" s="82" t="e">
        <f t="shared" ref="R54:R66" ca="1" si="129">IF(MONTH(TODAY())&gt;=$D5,COUNTIFS(#REF!,$C54,#REF!,$H$51)-COUNTIFS(#REF!,$C54,#REF!,$H$51),"")</f>
        <v>#REF!</v>
      </c>
      <c r="S54" s="79" t="e">
        <f t="shared" ref="S54:T54" si="130">COUNTIFS(#REF!,$B54,#REF!,$C54,#REF!,$H$51)</f>
        <v>#REF!</v>
      </c>
      <c r="T54" s="76" t="e">
        <f t="shared" si="130"/>
        <v>#REF!</v>
      </c>
      <c r="U54" s="76" t="e">
        <f t="shared" ref="U54:U66" ca="1" si="131">IF(MONTH(TODAY())&gt;=$D5,COUNTIFS(#REF!,$C54,#REF!,$H$51)-COUNTIFS(#REF!,$C54,#REF!,$H$51),"")</f>
        <v>#REF!</v>
      </c>
      <c r="V54" s="76">
        <v>0</v>
      </c>
      <c r="W54" s="82" t="e">
        <f t="shared" ref="W54:W66" ca="1" si="132">IF(MONTH(TODAY())&gt;=$D5,COUNTIFS(#REF!,$C54,#REF!,$H$51)-COUNTIFS(#REF!,$C54,#REF!,$H$51),"")</f>
        <v>#REF!</v>
      </c>
      <c r="X54" s="83"/>
      <c r="Y54" s="77"/>
      <c r="Z54" s="78"/>
      <c r="AA54" s="85" t="e">
        <f t="shared" ref="AA54:AA67" si="133">COUNTIFS(#REF!,$B54,#REF!,$C54,#REF!,$H$51)</f>
        <v>#REF!</v>
      </c>
      <c r="AB54" s="79" t="e">
        <f>SUMIFS(#REF!,#REF!,$B54,#REF!,$C54,#REF!,$H$51)</f>
        <v>#REF!</v>
      </c>
      <c r="AC54" s="81" t="e">
        <f t="shared" ref="AC54:AC67" si="134">SUMIFS(#REF!,#REF!,$B54,#REF!,$C54,#REF!,$H$51)</f>
        <v>#REF!</v>
      </c>
      <c r="AD54" s="83"/>
      <c r="AE54" s="77"/>
      <c r="AF54" s="86"/>
      <c r="AG54" s="177"/>
      <c r="AH54" s="77"/>
      <c r="AI54" s="77"/>
      <c r="AJ54" s="77"/>
      <c r="AK54" s="177"/>
      <c r="AL54" s="77"/>
      <c r="AM54" s="77"/>
      <c r="AN54" s="77"/>
      <c r="AO54" s="177"/>
      <c r="AP54" s="76">
        <f t="shared" ref="AP54:AR54" ca="1" si="135">IF(MONTH(TODAY())&gt;=$D5,AD54-X54,"")</f>
        <v>0</v>
      </c>
      <c r="AQ54" s="76">
        <f t="shared" ca="1" si="135"/>
        <v>0</v>
      </c>
      <c r="AR54" s="94">
        <f t="shared" ca="1" si="135"/>
        <v>0</v>
      </c>
    </row>
    <row r="55" spans="2:44" ht="12.75">
      <c r="B55" s="1" t="s">
        <v>692</v>
      </c>
      <c r="C55" s="1" t="s">
        <v>693</v>
      </c>
      <c r="D55" s="60">
        <v>1</v>
      </c>
      <c r="E55" s="60" t="str">
        <f t="shared" si="123"/>
        <v>&gt;=2/1/24</v>
      </c>
      <c r="F55" s="87" t="s">
        <v>694</v>
      </c>
      <c r="G55" s="130">
        <v>6.2199999999999998E-2</v>
      </c>
      <c r="H55" s="89">
        <f>ROUND(J55/$J$68*$H$68,0)</f>
        <v>5</v>
      </c>
      <c r="I55" s="131">
        <f t="shared" ref="I55:I66" si="136">J55/$J$68*$I$68</f>
        <v>51.99791494252873</v>
      </c>
      <c r="J55" s="93">
        <f t="shared" ref="J55:J66" si="137">J6-J95</f>
        <v>144383.33333333331</v>
      </c>
      <c r="K55" s="128" t="e">
        <f t="shared" si="124"/>
        <v>#REF!</v>
      </c>
      <c r="L55" s="76" t="e">
        <f>SUMIFS(#REF!,#REF!,$B55,#REF!,$C55,#REF!,$H$51)</f>
        <v>#REF!</v>
      </c>
      <c r="M55" s="81" t="e">
        <f t="shared" si="125"/>
        <v>#REF!</v>
      </c>
      <c r="N55" s="129" t="e">
        <f t="shared" si="126"/>
        <v>#REF!</v>
      </c>
      <c r="O55" s="76" t="e">
        <f t="shared" si="127"/>
        <v>#REF!</v>
      </c>
      <c r="P55" s="76" t="e">
        <f t="shared" ca="1" si="128"/>
        <v>#REF!</v>
      </c>
      <c r="Q55" s="76">
        <v>0</v>
      </c>
      <c r="R55" s="82" t="e">
        <f t="shared" ca="1" si="129"/>
        <v>#REF!</v>
      </c>
      <c r="S55" s="79" t="e">
        <f t="shared" ref="S55:T55" si="138">COUNTIFS(#REF!,$B55,#REF!,$C55,#REF!,$H$51)</f>
        <v>#REF!</v>
      </c>
      <c r="T55" s="76" t="e">
        <f t="shared" si="138"/>
        <v>#REF!</v>
      </c>
      <c r="U55" s="76" t="e">
        <f t="shared" ca="1" si="131"/>
        <v>#REF!</v>
      </c>
      <c r="V55" s="76">
        <v>0</v>
      </c>
      <c r="W55" s="82" t="e">
        <f t="shared" ca="1" si="132"/>
        <v>#REF!</v>
      </c>
      <c r="X55" s="132">
        <f t="shared" ref="X55:X66" si="139">X6-X95</f>
        <v>4</v>
      </c>
      <c r="Y55" s="92">
        <f t="shared" ref="Y55:Y66" si="140">X55*10</f>
        <v>40</v>
      </c>
      <c r="Z55" s="93">
        <f t="shared" ref="Z55:Z66" si="141">$Z$68/$X$68*X55</f>
        <v>111072.41942857145</v>
      </c>
      <c r="AA55" s="85" t="e">
        <f t="shared" si="133"/>
        <v>#REF!</v>
      </c>
      <c r="AB55" s="79" t="e">
        <f>SUMIFS(#REF!,#REF!,$B55,#REF!,$C55,#REF!,$H$51)</f>
        <v>#REF!</v>
      </c>
      <c r="AC55" s="81" t="e">
        <f t="shared" si="134"/>
        <v>#REF!</v>
      </c>
      <c r="AD55" s="79" t="e">
        <f t="shared" ref="AD55:AD66" si="142">COUNTIFS(#REF!,$B55,#REF!,$C55,#REF!,$H$51)</f>
        <v>#REF!</v>
      </c>
      <c r="AE55" s="76" t="e">
        <f>SUMIFS(#REF!,#REF!,$B55,#REF!,$C55,#REF!,$H$51)</f>
        <v>#REF!</v>
      </c>
      <c r="AF55" s="94" t="e">
        <f t="shared" ref="AF55:AF66" si="143">SUMIFS(#REF!,#REF!,$B55,#REF!,$C55,#REF!,$H$51)</f>
        <v>#REF!</v>
      </c>
      <c r="AG55" s="177"/>
      <c r="AH55" s="95" t="e">
        <f t="shared" ref="AH55:AJ55" ca="1" si="144">IF(MONTH(TODAY())&gt;=$D6,K55-H55,"")</f>
        <v>#REF!</v>
      </c>
      <c r="AI55" s="76" t="e">
        <f t="shared" ca="1" si="144"/>
        <v>#REF!</v>
      </c>
      <c r="AJ55" s="76" t="e">
        <f t="shared" ca="1" si="144"/>
        <v>#REF!</v>
      </c>
      <c r="AK55" s="177"/>
      <c r="AL55" s="76" t="e">
        <f t="shared" ref="AL55:AN55" ca="1" si="145">IF(MONTH(TODAY())&gt;=$D6,AD55-X55,"")</f>
        <v>#REF!</v>
      </c>
      <c r="AM55" s="76" t="e">
        <f t="shared" ca="1" si="145"/>
        <v>#REF!</v>
      </c>
      <c r="AN55" s="76" t="e">
        <f t="shared" ca="1" si="145"/>
        <v>#REF!</v>
      </c>
      <c r="AO55" s="177"/>
      <c r="AP55" s="76" t="e">
        <f t="shared" ref="AP55:AR55" ca="1" si="146">IF(MONTH(TODAY())&gt;=$D6,AD55-X55,"")</f>
        <v>#REF!</v>
      </c>
      <c r="AQ55" s="76" t="e">
        <f t="shared" ca="1" si="146"/>
        <v>#REF!</v>
      </c>
      <c r="AR55" s="76" t="e">
        <f t="shared" ca="1" si="146"/>
        <v>#REF!</v>
      </c>
    </row>
    <row r="56" spans="2:44" ht="12.75">
      <c r="B56" s="1" t="s">
        <v>695</v>
      </c>
      <c r="C56" s="1" t="s">
        <v>696</v>
      </c>
      <c r="D56" s="60">
        <v>2</v>
      </c>
      <c r="E56" s="60" t="str">
        <f t="shared" si="123"/>
        <v>&gt;=3/1/24</v>
      </c>
      <c r="F56" s="87" t="s">
        <v>697</v>
      </c>
      <c r="G56" s="130">
        <v>6.6400000000000001E-2</v>
      </c>
      <c r="H56" s="89">
        <f>ROUND(J56/$J$68*$H$68,0)+1</f>
        <v>5</v>
      </c>
      <c r="I56" s="131">
        <f t="shared" si="136"/>
        <v>44.939211494252881</v>
      </c>
      <c r="J56" s="93">
        <f t="shared" si="137"/>
        <v>124783.33333333333</v>
      </c>
      <c r="K56" s="128" t="e">
        <f t="shared" si="124"/>
        <v>#REF!</v>
      </c>
      <c r="L56" s="76" t="e">
        <f>SUMIFS(#REF!,#REF!,$B56,#REF!,$C56,#REF!,$H$51)</f>
        <v>#REF!</v>
      </c>
      <c r="M56" s="81" t="e">
        <f t="shared" si="125"/>
        <v>#REF!</v>
      </c>
      <c r="N56" s="129" t="e">
        <f t="shared" si="126"/>
        <v>#REF!</v>
      </c>
      <c r="O56" s="76" t="e">
        <f t="shared" si="127"/>
        <v>#REF!</v>
      </c>
      <c r="P56" s="76" t="e">
        <f t="shared" ca="1" si="128"/>
        <v>#REF!</v>
      </c>
      <c r="Q56" s="76" t="s">
        <v>698</v>
      </c>
      <c r="R56" s="82" t="e">
        <f t="shared" ca="1" si="129"/>
        <v>#REF!</v>
      </c>
      <c r="S56" s="79" t="e">
        <f t="shared" ref="S56:T56" si="147">COUNTIFS(#REF!,$B56,#REF!,$C56,#REF!,$H$51)</f>
        <v>#REF!</v>
      </c>
      <c r="T56" s="76" t="e">
        <f t="shared" si="147"/>
        <v>#REF!</v>
      </c>
      <c r="U56" s="76" t="e">
        <f t="shared" ca="1" si="131"/>
        <v>#REF!</v>
      </c>
      <c r="V56" s="76" t="s">
        <v>698</v>
      </c>
      <c r="W56" s="82" t="e">
        <f t="shared" ca="1" si="132"/>
        <v>#REF!</v>
      </c>
      <c r="X56" s="132">
        <f t="shared" si="139"/>
        <v>2</v>
      </c>
      <c r="Y56" s="92">
        <f t="shared" si="140"/>
        <v>20</v>
      </c>
      <c r="Z56" s="93">
        <f t="shared" si="141"/>
        <v>55536.209714285724</v>
      </c>
      <c r="AA56" s="85" t="e">
        <f t="shared" si="133"/>
        <v>#REF!</v>
      </c>
      <c r="AB56" s="79" t="e">
        <f>SUMIFS(#REF!,#REF!,$B56,#REF!,$C56,#REF!,$H$51)</f>
        <v>#REF!</v>
      </c>
      <c r="AC56" s="81" t="e">
        <f t="shared" si="134"/>
        <v>#REF!</v>
      </c>
      <c r="AD56" s="79" t="e">
        <f t="shared" si="142"/>
        <v>#REF!</v>
      </c>
      <c r="AE56" s="76" t="e">
        <f>SUMIFS(#REF!,#REF!,$B56,#REF!,$C56,#REF!,$H$51)</f>
        <v>#REF!</v>
      </c>
      <c r="AF56" s="94" t="e">
        <f t="shared" si="143"/>
        <v>#REF!</v>
      </c>
      <c r="AG56" s="177"/>
      <c r="AH56" s="76" t="e">
        <f t="shared" ref="AH56:AJ56" ca="1" si="148">IF(MONTH(TODAY())&gt;=$D7,K56-H56,"")</f>
        <v>#REF!</v>
      </c>
      <c r="AI56" s="76" t="e">
        <f t="shared" ca="1" si="148"/>
        <v>#REF!</v>
      </c>
      <c r="AJ56" s="76" t="e">
        <f t="shared" ca="1" si="148"/>
        <v>#REF!</v>
      </c>
      <c r="AK56" s="177"/>
      <c r="AL56" s="76" t="e">
        <f t="shared" ref="AL56:AN56" ca="1" si="149">IF(MONTH(TODAY())&gt;=$D7,AD56-X56,"")</f>
        <v>#REF!</v>
      </c>
      <c r="AM56" s="76" t="e">
        <f t="shared" ca="1" si="149"/>
        <v>#REF!</v>
      </c>
      <c r="AN56" s="76" t="e">
        <f t="shared" ca="1" si="149"/>
        <v>#REF!</v>
      </c>
      <c r="AO56" s="177"/>
      <c r="AP56" s="76" t="e">
        <f t="shared" ref="AP56:AR56" ca="1" si="150">IF(MONTH(TODAY())&gt;=$D7,AD56-X56,"")</f>
        <v>#REF!</v>
      </c>
      <c r="AQ56" s="76" t="e">
        <f t="shared" ca="1" si="150"/>
        <v>#REF!</v>
      </c>
      <c r="AR56" s="76" t="e">
        <f t="shared" ca="1" si="150"/>
        <v>#REF!</v>
      </c>
    </row>
    <row r="57" spans="2:44" ht="12.75">
      <c r="B57" s="1" t="s">
        <v>699</v>
      </c>
      <c r="C57" s="1" t="s">
        <v>700</v>
      </c>
      <c r="D57" s="60">
        <v>3</v>
      </c>
      <c r="E57" s="60" t="str">
        <f t="shared" si="123"/>
        <v>&gt;=4/1/24</v>
      </c>
      <c r="F57" s="87" t="s">
        <v>701</v>
      </c>
      <c r="G57" s="130">
        <v>7.0499999999999993E-2</v>
      </c>
      <c r="H57" s="89">
        <f t="shared" ref="H57:H66" si="151">ROUND(J57/$J$68*$H$68,0)</f>
        <v>8</v>
      </c>
      <c r="I57" s="131">
        <f t="shared" si="136"/>
        <v>77.333618390804602</v>
      </c>
      <c r="J57" s="93">
        <f t="shared" si="137"/>
        <v>214733.33333333331</v>
      </c>
      <c r="K57" s="128" t="e">
        <f t="shared" si="124"/>
        <v>#REF!</v>
      </c>
      <c r="L57" s="76" t="e">
        <f>SUMIFS(#REF!,#REF!,$B57,#REF!,$C57,#REF!,$H$51)</f>
        <v>#REF!</v>
      </c>
      <c r="M57" s="81" t="e">
        <f t="shared" si="125"/>
        <v>#REF!</v>
      </c>
      <c r="N57" s="129" t="e">
        <f t="shared" si="126"/>
        <v>#REF!</v>
      </c>
      <c r="O57" s="76" t="e">
        <f t="shared" si="127"/>
        <v>#REF!</v>
      </c>
      <c r="P57" s="76" t="e">
        <f t="shared" ca="1" si="128"/>
        <v>#REF!</v>
      </c>
      <c r="Q57" s="76" t="s">
        <v>698</v>
      </c>
      <c r="R57" s="82" t="e">
        <f t="shared" ca="1" si="129"/>
        <v>#REF!</v>
      </c>
      <c r="S57" s="79" t="e">
        <f t="shared" ref="S57:T57" si="152">COUNTIFS(#REF!,$B57,#REF!,$C57,#REF!,$H$51)</f>
        <v>#REF!</v>
      </c>
      <c r="T57" s="76" t="e">
        <f t="shared" si="152"/>
        <v>#REF!</v>
      </c>
      <c r="U57" s="76" t="e">
        <f t="shared" ca="1" si="131"/>
        <v>#REF!</v>
      </c>
      <c r="V57" s="76" t="s">
        <v>698</v>
      </c>
      <c r="W57" s="82" t="e">
        <f t="shared" ca="1" si="132"/>
        <v>#REF!</v>
      </c>
      <c r="X57" s="132">
        <f t="shared" si="139"/>
        <v>6</v>
      </c>
      <c r="Y57" s="92">
        <f t="shared" si="140"/>
        <v>60</v>
      </c>
      <c r="Z57" s="93">
        <f t="shared" si="141"/>
        <v>166608.62914285716</v>
      </c>
      <c r="AA57" s="85" t="e">
        <f t="shared" si="133"/>
        <v>#REF!</v>
      </c>
      <c r="AB57" s="79" t="e">
        <f>SUMIFS(#REF!,#REF!,$B57,#REF!,$C57,#REF!,$H$51)</f>
        <v>#REF!</v>
      </c>
      <c r="AC57" s="81" t="e">
        <f t="shared" si="134"/>
        <v>#REF!</v>
      </c>
      <c r="AD57" s="79" t="e">
        <f t="shared" si="142"/>
        <v>#REF!</v>
      </c>
      <c r="AE57" s="76" t="e">
        <f>SUMIFS(#REF!,#REF!,$B57,#REF!,$C57,#REF!,$H$51)</f>
        <v>#REF!</v>
      </c>
      <c r="AF57" s="94" t="e">
        <f t="shared" si="143"/>
        <v>#REF!</v>
      </c>
      <c r="AG57" s="177"/>
      <c r="AH57" s="76" t="e">
        <f t="shared" ref="AH57:AJ57" ca="1" si="153">IF(MONTH(TODAY())&gt;=$D8,K57-H57,"")</f>
        <v>#REF!</v>
      </c>
      <c r="AI57" s="76" t="e">
        <f t="shared" ca="1" si="153"/>
        <v>#REF!</v>
      </c>
      <c r="AJ57" s="76" t="e">
        <f t="shared" ca="1" si="153"/>
        <v>#REF!</v>
      </c>
      <c r="AK57" s="177"/>
      <c r="AL57" s="76" t="e">
        <f t="shared" ref="AL57:AN57" ca="1" si="154">IF(MONTH(TODAY())&gt;=$D8,AD57-X57,"")</f>
        <v>#REF!</v>
      </c>
      <c r="AM57" s="76" t="e">
        <f t="shared" ca="1" si="154"/>
        <v>#REF!</v>
      </c>
      <c r="AN57" s="76" t="e">
        <f t="shared" ca="1" si="154"/>
        <v>#REF!</v>
      </c>
      <c r="AO57" s="177"/>
      <c r="AP57" s="76" t="e">
        <f t="shared" ref="AP57:AR57" ca="1" si="155">IF(MONTH(TODAY())&gt;=$D8,AD57-X57,"")</f>
        <v>#REF!</v>
      </c>
      <c r="AQ57" s="76" t="e">
        <f t="shared" ca="1" si="155"/>
        <v>#REF!</v>
      </c>
      <c r="AR57" s="76" t="e">
        <f t="shared" ca="1" si="155"/>
        <v>#REF!</v>
      </c>
    </row>
    <row r="58" spans="2:44" ht="12.75">
      <c r="B58" s="1" t="s">
        <v>702</v>
      </c>
      <c r="C58" s="1" t="s">
        <v>703</v>
      </c>
      <c r="D58" s="60">
        <v>4</v>
      </c>
      <c r="E58" s="60" t="str">
        <f t="shared" si="123"/>
        <v>&gt;=5/1/24</v>
      </c>
      <c r="F58" s="87" t="s">
        <v>704</v>
      </c>
      <c r="G58" s="130">
        <v>0.12859999999999999</v>
      </c>
      <c r="H58" s="89">
        <f t="shared" si="151"/>
        <v>10</v>
      </c>
      <c r="I58" s="131">
        <f t="shared" si="136"/>
        <v>104.30794942528736</v>
      </c>
      <c r="J58" s="93">
        <f t="shared" si="137"/>
        <v>289633.33333333331</v>
      </c>
      <c r="K58" s="128" t="e">
        <f t="shared" si="124"/>
        <v>#REF!</v>
      </c>
      <c r="L58" s="76" t="e">
        <f>SUMIFS(#REF!,#REF!,$B58,#REF!,$C58,#REF!,$H$51)</f>
        <v>#REF!</v>
      </c>
      <c r="M58" s="81" t="e">
        <f t="shared" si="125"/>
        <v>#REF!</v>
      </c>
      <c r="N58" s="129" t="e">
        <f t="shared" si="126"/>
        <v>#REF!</v>
      </c>
      <c r="O58" s="76" t="e">
        <f t="shared" si="127"/>
        <v>#REF!</v>
      </c>
      <c r="P58" s="76" t="str">
        <f t="shared" ca="1" si="128"/>
        <v/>
      </c>
      <c r="Q58" s="76" t="s">
        <v>698</v>
      </c>
      <c r="R58" s="82" t="str">
        <f t="shared" ca="1" si="129"/>
        <v/>
      </c>
      <c r="S58" s="79" t="e">
        <f t="shared" ref="S58:T58" si="156">COUNTIFS(#REF!,$B58,#REF!,$C58,#REF!,$H$51)</f>
        <v>#REF!</v>
      </c>
      <c r="T58" s="76" t="e">
        <f t="shared" si="156"/>
        <v>#REF!</v>
      </c>
      <c r="U58" s="76" t="str">
        <f t="shared" ca="1" si="131"/>
        <v/>
      </c>
      <c r="V58" s="76" t="s">
        <v>698</v>
      </c>
      <c r="W58" s="82" t="str">
        <f t="shared" ca="1" si="132"/>
        <v/>
      </c>
      <c r="X58" s="132">
        <f t="shared" si="139"/>
        <v>10</v>
      </c>
      <c r="Y58" s="92">
        <f t="shared" si="140"/>
        <v>100</v>
      </c>
      <c r="Z58" s="93">
        <f t="shared" si="141"/>
        <v>277681.04857142863</v>
      </c>
      <c r="AA58" s="85" t="e">
        <f t="shared" si="133"/>
        <v>#REF!</v>
      </c>
      <c r="AB58" s="79" t="e">
        <f>SUMIFS(#REF!,#REF!,$B58,#REF!,$C58,#REF!,$H$51)</f>
        <v>#REF!</v>
      </c>
      <c r="AC58" s="81" t="e">
        <f t="shared" si="134"/>
        <v>#REF!</v>
      </c>
      <c r="AD58" s="79" t="e">
        <f t="shared" si="142"/>
        <v>#REF!</v>
      </c>
      <c r="AE58" s="76" t="e">
        <f>SUMIFS(#REF!,#REF!,$B58,#REF!,$C58,#REF!,$H$51)</f>
        <v>#REF!</v>
      </c>
      <c r="AF58" s="94" t="e">
        <f t="shared" si="143"/>
        <v>#REF!</v>
      </c>
      <c r="AG58" s="177"/>
      <c r="AH58" s="76" t="str">
        <f t="shared" ref="AH58:AJ58" ca="1" si="157">IF(MONTH(TODAY())&gt;=$D9,K58-H58,"")</f>
        <v/>
      </c>
      <c r="AI58" s="76" t="str">
        <f t="shared" ca="1" si="157"/>
        <v/>
      </c>
      <c r="AJ58" s="76" t="str">
        <f t="shared" ca="1" si="157"/>
        <v/>
      </c>
      <c r="AK58" s="177"/>
      <c r="AL58" s="76" t="str">
        <f t="shared" ref="AL58:AN58" ca="1" si="158">IF(MONTH(TODAY())&gt;=$D9,AD58-X58,"")</f>
        <v/>
      </c>
      <c r="AM58" s="76" t="str">
        <f t="shared" ca="1" si="158"/>
        <v/>
      </c>
      <c r="AN58" s="76" t="str">
        <f t="shared" ca="1" si="158"/>
        <v/>
      </c>
      <c r="AO58" s="177"/>
      <c r="AP58" s="76" t="str">
        <f t="shared" ref="AP58:AR58" ca="1" si="159">IF(MONTH(TODAY())&gt;=$D9,AD58-X58,"")</f>
        <v/>
      </c>
      <c r="AQ58" s="76" t="str">
        <f t="shared" ca="1" si="159"/>
        <v/>
      </c>
      <c r="AR58" s="76" t="str">
        <f t="shared" ca="1" si="159"/>
        <v/>
      </c>
    </row>
    <row r="59" spans="2:44" ht="12.75">
      <c r="B59" s="1" t="s">
        <v>705</v>
      </c>
      <c r="C59" s="1" t="s">
        <v>706</v>
      </c>
      <c r="D59" s="60">
        <v>5</v>
      </c>
      <c r="E59" s="60" t="str">
        <f t="shared" si="123"/>
        <v>&gt;=6/1/24</v>
      </c>
      <c r="F59" s="87" t="s">
        <v>707</v>
      </c>
      <c r="G59" s="130">
        <v>0.1328</v>
      </c>
      <c r="H59" s="89">
        <f t="shared" si="151"/>
        <v>11</v>
      </c>
      <c r="I59" s="131">
        <f t="shared" si="136"/>
        <v>110.61036321839082</v>
      </c>
      <c r="J59" s="93">
        <f t="shared" si="137"/>
        <v>307133.33333333331</v>
      </c>
      <c r="K59" s="128" t="e">
        <f t="shared" si="124"/>
        <v>#REF!</v>
      </c>
      <c r="L59" s="76" t="e">
        <f>SUMIFS(#REF!,#REF!,$B59,#REF!,$C59,#REF!,$H$51)</f>
        <v>#REF!</v>
      </c>
      <c r="M59" s="81" t="e">
        <f t="shared" si="125"/>
        <v>#REF!</v>
      </c>
      <c r="N59" s="129" t="e">
        <f t="shared" si="126"/>
        <v>#REF!</v>
      </c>
      <c r="O59" s="76" t="e">
        <f t="shared" si="127"/>
        <v>#REF!</v>
      </c>
      <c r="P59" s="76" t="str">
        <f t="shared" ca="1" si="128"/>
        <v/>
      </c>
      <c r="Q59" s="76" t="s">
        <v>698</v>
      </c>
      <c r="R59" s="82" t="str">
        <f t="shared" ca="1" si="129"/>
        <v/>
      </c>
      <c r="S59" s="79" t="e">
        <f t="shared" ref="S59:T59" si="160">COUNTIFS(#REF!,$B59,#REF!,$C59,#REF!,$H$51)</f>
        <v>#REF!</v>
      </c>
      <c r="T59" s="76" t="e">
        <f t="shared" si="160"/>
        <v>#REF!</v>
      </c>
      <c r="U59" s="76" t="str">
        <f t="shared" ca="1" si="131"/>
        <v/>
      </c>
      <c r="V59" s="76" t="s">
        <v>698</v>
      </c>
      <c r="W59" s="82" t="str">
        <f t="shared" ca="1" si="132"/>
        <v/>
      </c>
      <c r="X59" s="132">
        <f t="shared" si="139"/>
        <v>10</v>
      </c>
      <c r="Y59" s="92">
        <f t="shared" si="140"/>
        <v>100</v>
      </c>
      <c r="Z59" s="93">
        <f t="shared" si="141"/>
        <v>277681.04857142863</v>
      </c>
      <c r="AA59" s="85" t="e">
        <f t="shared" si="133"/>
        <v>#REF!</v>
      </c>
      <c r="AB59" s="79" t="e">
        <f>SUMIFS(#REF!,#REF!,$B59,#REF!,$C59,#REF!,$H$51)</f>
        <v>#REF!</v>
      </c>
      <c r="AC59" s="81" t="e">
        <f t="shared" si="134"/>
        <v>#REF!</v>
      </c>
      <c r="AD59" s="79" t="e">
        <f t="shared" si="142"/>
        <v>#REF!</v>
      </c>
      <c r="AE59" s="76" t="e">
        <f>SUMIFS(#REF!,#REF!,$B59,#REF!,$C59,#REF!,$H$51)</f>
        <v>#REF!</v>
      </c>
      <c r="AF59" s="94" t="e">
        <f t="shared" si="143"/>
        <v>#REF!</v>
      </c>
      <c r="AG59" s="177"/>
      <c r="AH59" s="76" t="str">
        <f t="shared" ref="AH59:AJ59" ca="1" si="161">IF(MONTH(TODAY())&gt;=$D10,K59-H59,"")</f>
        <v/>
      </c>
      <c r="AI59" s="76" t="str">
        <f t="shared" ca="1" si="161"/>
        <v/>
      </c>
      <c r="AJ59" s="76" t="str">
        <f t="shared" ca="1" si="161"/>
        <v/>
      </c>
      <c r="AK59" s="177"/>
      <c r="AL59" s="76" t="str">
        <f t="shared" ref="AL59:AN59" ca="1" si="162">IF(MONTH(TODAY())&gt;=$D10,AD59-X59,"")</f>
        <v/>
      </c>
      <c r="AM59" s="76" t="str">
        <f t="shared" ca="1" si="162"/>
        <v/>
      </c>
      <c r="AN59" s="76" t="str">
        <f t="shared" ca="1" si="162"/>
        <v/>
      </c>
      <c r="AO59" s="177"/>
      <c r="AP59" s="76" t="str">
        <f t="shared" ref="AP59:AR59" ca="1" si="163">IF(MONTH(TODAY())&gt;=$D10,AD59-X59,"")</f>
        <v/>
      </c>
      <c r="AQ59" s="76" t="str">
        <f t="shared" ca="1" si="163"/>
        <v/>
      </c>
      <c r="AR59" s="76" t="str">
        <f t="shared" ca="1" si="163"/>
        <v/>
      </c>
    </row>
    <row r="60" spans="2:44" ht="12.75">
      <c r="B60" s="1" t="s">
        <v>708</v>
      </c>
      <c r="C60" s="1" t="s">
        <v>709</v>
      </c>
      <c r="D60" s="60">
        <v>6</v>
      </c>
      <c r="E60" s="60" t="str">
        <f t="shared" si="123"/>
        <v>&gt;=7/1/24</v>
      </c>
      <c r="F60" s="87" t="s">
        <v>710</v>
      </c>
      <c r="G60" s="130">
        <v>7.8799999999999995E-2</v>
      </c>
      <c r="H60" s="89">
        <f t="shared" si="151"/>
        <v>11</v>
      </c>
      <c r="I60" s="131">
        <f t="shared" si="136"/>
        <v>106.70286666666667</v>
      </c>
      <c r="J60" s="93">
        <f t="shared" si="137"/>
        <v>296283.33333333331</v>
      </c>
      <c r="K60" s="128" t="e">
        <f t="shared" si="124"/>
        <v>#REF!</v>
      </c>
      <c r="L60" s="76" t="e">
        <f>SUMIFS(#REF!,#REF!,$B60,#REF!,$C60,#REF!,$H$51)</f>
        <v>#REF!</v>
      </c>
      <c r="M60" s="81" t="e">
        <f t="shared" si="125"/>
        <v>#REF!</v>
      </c>
      <c r="N60" s="129" t="e">
        <f t="shared" si="126"/>
        <v>#REF!</v>
      </c>
      <c r="O60" s="76" t="e">
        <f t="shared" si="127"/>
        <v>#REF!</v>
      </c>
      <c r="P60" s="76" t="str">
        <f t="shared" ca="1" si="128"/>
        <v/>
      </c>
      <c r="Q60" s="76" t="s">
        <v>698</v>
      </c>
      <c r="R60" s="82" t="str">
        <f t="shared" ca="1" si="129"/>
        <v/>
      </c>
      <c r="S60" s="79" t="e">
        <f t="shared" ref="S60:T60" si="164">COUNTIFS(#REF!,$B60,#REF!,$C60,#REF!,$H$51)</f>
        <v>#REF!</v>
      </c>
      <c r="T60" s="76" t="e">
        <f t="shared" si="164"/>
        <v>#REF!</v>
      </c>
      <c r="U60" s="76" t="str">
        <f t="shared" ca="1" si="131"/>
        <v/>
      </c>
      <c r="V60" s="76" t="s">
        <v>698</v>
      </c>
      <c r="W60" s="82" t="str">
        <f t="shared" ca="1" si="132"/>
        <v/>
      </c>
      <c r="X60" s="132">
        <f t="shared" si="139"/>
        <v>10</v>
      </c>
      <c r="Y60" s="92">
        <f t="shared" si="140"/>
        <v>100</v>
      </c>
      <c r="Z60" s="93">
        <f t="shared" si="141"/>
        <v>277681.04857142863</v>
      </c>
      <c r="AA60" s="85" t="e">
        <f t="shared" si="133"/>
        <v>#REF!</v>
      </c>
      <c r="AB60" s="79" t="e">
        <f>SUMIFS(#REF!,#REF!,$B60,#REF!,$C60,#REF!,$H$51)</f>
        <v>#REF!</v>
      </c>
      <c r="AC60" s="81" t="e">
        <f t="shared" si="134"/>
        <v>#REF!</v>
      </c>
      <c r="AD60" s="79" t="e">
        <f t="shared" si="142"/>
        <v>#REF!</v>
      </c>
      <c r="AE60" s="76" t="e">
        <f>SUMIFS(#REF!,#REF!,$B60,#REF!,$C60,#REF!,$H$51)</f>
        <v>#REF!</v>
      </c>
      <c r="AF60" s="94" t="e">
        <f t="shared" si="143"/>
        <v>#REF!</v>
      </c>
      <c r="AG60" s="177"/>
      <c r="AH60" s="76" t="str">
        <f t="shared" ref="AH60:AJ60" ca="1" si="165">IF(MONTH(TODAY())&gt;=$D11,K60-H60,"")</f>
        <v/>
      </c>
      <c r="AI60" s="76" t="str">
        <f t="shared" ca="1" si="165"/>
        <v/>
      </c>
      <c r="AJ60" s="76" t="str">
        <f t="shared" ca="1" si="165"/>
        <v/>
      </c>
      <c r="AK60" s="177"/>
      <c r="AL60" s="76" t="str">
        <f t="shared" ref="AL60:AN60" ca="1" si="166">IF(MONTH(TODAY())&gt;=$D11,AD60-X60,"")</f>
        <v/>
      </c>
      <c r="AM60" s="76" t="str">
        <f t="shared" ca="1" si="166"/>
        <v/>
      </c>
      <c r="AN60" s="76" t="str">
        <f t="shared" ca="1" si="166"/>
        <v/>
      </c>
      <c r="AO60" s="177"/>
      <c r="AP60" s="76" t="str">
        <f t="shared" ref="AP60:AR60" ca="1" si="167">IF(MONTH(TODAY())&gt;=$D11,AD60-X60,"")</f>
        <v/>
      </c>
      <c r="AQ60" s="76" t="str">
        <f t="shared" ca="1" si="167"/>
        <v/>
      </c>
      <c r="AR60" s="76" t="str">
        <f t="shared" ca="1" si="167"/>
        <v/>
      </c>
    </row>
    <row r="61" spans="2:44" ht="12.75">
      <c r="B61" s="1" t="s">
        <v>711</v>
      </c>
      <c r="C61" s="1" t="s">
        <v>712</v>
      </c>
      <c r="D61" s="60">
        <v>7</v>
      </c>
      <c r="E61" s="60" t="str">
        <f t="shared" si="123"/>
        <v>&gt;=8/1/24</v>
      </c>
      <c r="F61" s="87" t="s">
        <v>713</v>
      </c>
      <c r="G61" s="130">
        <v>9.9599999999999994E-2</v>
      </c>
      <c r="H61" s="89">
        <f t="shared" si="151"/>
        <v>6</v>
      </c>
      <c r="I61" s="131">
        <f t="shared" si="136"/>
        <v>56.787749425287352</v>
      </c>
      <c r="J61" s="93">
        <f t="shared" si="137"/>
        <v>157683.33333333331</v>
      </c>
      <c r="K61" s="128" t="e">
        <f t="shared" si="124"/>
        <v>#REF!</v>
      </c>
      <c r="L61" s="76" t="e">
        <f>SUMIFS(#REF!,#REF!,$B61,#REF!,$C61,#REF!,$H$51)</f>
        <v>#REF!</v>
      </c>
      <c r="M61" s="81" t="e">
        <f t="shared" si="125"/>
        <v>#REF!</v>
      </c>
      <c r="N61" s="129" t="e">
        <f t="shared" si="126"/>
        <v>#REF!</v>
      </c>
      <c r="O61" s="76" t="e">
        <f t="shared" si="127"/>
        <v>#REF!</v>
      </c>
      <c r="P61" s="76" t="str">
        <f t="shared" ca="1" si="128"/>
        <v/>
      </c>
      <c r="Q61" s="76" t="s">
        <v>698</v>
      </c>
      <c r="R61" s="82" t="str">
        <f t="shared" ca="1" si="129"/>
        <v/>
      </c>
      <c r="S61" s="79" t="e">
        <f t="shared" ref="S61:T61" si="168">COUNTIFS(#REF!,$B61,#REF!,$C61,#REF!,$H$51)</f>
        <v>#REF!</v>
      </c>
      <c r="T61" s="76" t="e">
        <f t="shared" si="168"/>
        <v>#REF!</v>
      </c>
      <c r="U61" s="76" t="str">
        <f t="shared" ca="1" si="131"/>
        <v/>
      </c>
      <c r="V61" s="76" t="s">
        <v>698</v>
      </c>
      <c r="W61" s="82" t="str">
        <f t="shared" ca="1" si="132"/>
        <v/>
      </c>
      <c r="X61" s="132">
        <f t="shared" si="139"/>
        <v>11</v>
      </c>
      <c r="Y61" s="92">
        <f t="shared" si="140"/>
        <v>110</v>
      </c>
      <c r="Z61" s="93">
        <f t="shared" si="141"/>
        <v>305449.15342857147</v>
      </c>
      <c r="AA61" s="85" t="e">
        <f t="shared" si="133"/>
        <v>#REF!</v>
      </c>
      <c r="AB61" s="79" t="e">
        <f>SUMIFS(#REF!,#REF!,$B61,#REF!,$C61,#REF!,$H$51)</f>
        <v>#REF!</v>
      </c>
      <c r="AC61" s="81" t="e">
        <f t="shared" si="134"/>
        <v>#REF!</v>
      </c>
      <c r="AD61" s="79" t="e">
        <f t="shared" si="142"/>
        <v>#REF!</v>
      </c>
      <c r="AE61" s="76" t="e">
        <f>SUMIFS(#REF!,#REF!,$B61,#REF!,$C61,#REF!,$H$51)</f>
        <v>#REF!</v>
      </c>
      <c r="AF61" s="94" t="e">
        <f t="shared" si="143"/>
        <v>#REF!</v>
      </c>
      <c r="AG61" s="177"/>
      <c r="AH61" s="76" t="str">
        <f t="shared" ref="AH61:AJ61" ca="1" si="169">IF(MONTH(TODAY())&gt;=$D12,K61-H61,"")</f>
        <v/>
      </c>
      <c r="AI61" s="76" t="str">
        <f t="shared" ca="1" si="169"/>
        <v/>
      </c>
      <c r="AJ61" s="76" t="str">
        <f t="shared" ca="1" si="169"/>
        <v/>
      </c>
      <c r="AK61" s="177"/>
      <c r="AL61" s="76" t="str">
        <f t="shared" ref="AL61:AN61" ca="1" si="170">IF(MONTH(TODAY())&gt;=$D12,AD61-X61,"")</f>
        <v/>
      </c>
      <c r="AM61" s="76" t="str">
        <f t="shared" ca="1" si="170"/>
        <v/>
      </c>
      <c r="AN61" s="76" t="str">
        <f t="shared" ca="1" si="170"/>
        <v/>
      </c>
      <c r="AO61" s="177"/>
      <c r="AP61" s="76" t="str">
        <f t="shared" ref="AP61:AR61" ca="1" si="171">IF(MONTH(TODAY())&gt;=$D12,AD61-X61,"")</f>
        <v/>
      </c>
      <c r="AQ61" s="76" t="str">
        <f t="shared" ca="1" si="171"/>
        <v/>
      </c>
      <c r="AR61" s="76" t="str">
        <f t="shared" ca="1" si="171"/>
        <v/>
      </c>
    </row>
    <row r="62" spans="2:44" ht="12.75">
      <c r="B62" s="1" t="s">
        <v>714</v>
      </c>
      <c r="C62" s="1" t="s">
        <v>715</v>
      </c>
      <c r="D62" s="60">
        <v>8</v>
      </c>
      <c r="E62" s="60" t="str">
        <f t="shared" si="123"/>
        <v>&gt;=9/1/24</v>
      </c>
      <c r="F62" s="87" t="s">
        <v>716</v>
      </c>
      <c r="G62" s="130">
        <v>4.5600000000000002E-2</v>
      </c>
      <c r="H62" s="89">
        <f t="shared" si="151"/>
        <v>9</v>
      </c>
      <c r="I62" s="131">
        <f t="shared" si="136"/>
        <v>93.593845977011497</v>
      </c>
      <c r="J62" s="93">
        <f t="shared" si="137"/>
        <v>259883.33333333331</v>
      </c>
      <c r="K62" s="128" t="e">
        <f t="shared" si="124"/>
        <v>#REF!</v>
      </c>
      <c r="L62" s="76" t="e">
        <f>SUMIFS(#REF!,#REF!,$B62,#REF!,$C62,#REF!,$H$51)</f>
        <v>#REF!</v>
      </c>
      <c r="M62" s="81" t="e">
        <f t="shared" si="125"/>
        <v>#REF!</v>
      </c>
      <c r="N62" s="129" t="e">
        <f t="shared" si="126"/>
        <v>#REF!</v>
      </c>
      <c r="O62" s="76" t="e">
        <f t="shared" si="127"/>
        <v>#REF!</v>
      </c>
      <c r="P62" s="76" t="str">
        <f t="shared" ca="1" si="128"/>
        <v/>
      </c>
      <c r="Q62" s="76" t="s">
        <v>698</v>
      </c>
      <c r="R62" s="82" t="str">
        <f t="shared" ca="1" si="129"/>
        <v/>
      </c>
      <c r="S62" s="79" t="e">
        <f t="shared" ref="S62:T62" si="172">COUNTIFS(#REF!,$B62,#REF!,$C62,#REF!,$H$51)</f>
        <v>#REF!</v>
      </c>
      <c r="T62" s="76" t="e">
        <f t="shared" si="172"/>
        <v>#REF!</v>
      </c>
      <c r="U62" s="76" t="str">
        <f t="shared" ca="1" si="131"/>
        <v/>
      </c>
      <c r="V62" s="76" t="s">
        <v>698</v>
      </c>
      <c r="W62" s="82" t="str">
        <f t="shared" ca="1" si="132"/>
        <v/>
      </c>
      <c r="X62" s="132">
        <f t="shared" si="139"/>
        <v>11</v>
      </c>
      <c r="Y62" s="92">
        <f t="shared" si="140"/>
        <v>110</v>
      </c>
      <c r="Z62" s="93">
        <f t="shared" si="141"/>
        <v>305449.15342857147</v>
      </c>
      <c r="AA62" s="85" t="e">
        <f t="shared" si="133"/>
        <v>#REF!</v>
      </c>
      <c r="AB62" s="79" t="e">
        <f>SUMIFS(#REF!,#REF!,$B62,#REF!,$C62,#REF!,$H$51)</f>
        <v>#REF!</v>
      </c>
      <c r="AC62" s="81" t="e">
        <f t="shared" si="134"/>
        <v>#REF!</v>
      </c>
      <c r="AD62" s="79" t="e">
        <f t="shared" si="142"/>
        <v>#REF!</v>
      </c>
      <c r="AE62" s="76" t="e">
        <f>SUMIFS(#REF!,#REF!,$B62,#REF!,$C62,#REF!,$H$51)</f>
        <v>#REF!</v>
      </c>
      <c r="AF62" s="94" t="e">
        <f t="shared" si="143"/>
        <v>#REF!</v>
      </c>
      <c r="AG62" s="177"/>
      <c r="AH62" s="76" t="str">
        <f t="shared" ref="AH62:AJ62" ca="1" si="173">IF(MONTH(TODAY())&gt;=$D13,K62-H62,"")</f>
        <v/>
      </c>
      <c r="AI62" s="76" t="str">
        <f t="shared" ca="1" si="173"/>
        <v/>
      </c>
      <c r="AJ62" s="76" t="str">
        <f t="shared" ca="1" si="173"/>
        <v/>
      </c>
      <c r="AK62" s="177"/>
      <c r="AL62" s="76" t="str">
        <f t="shared" ref="AL62:AN62" ca="1" si="174">IF(MONTH(TODAY())&gt;=$D13,AD62-X62,"")</f>
        <v/>
      </c>
      <c r="AM62" s="76" t="str">
        <f t="shared" ca="1" si="174"/>
        <v/>
      </c>
      <c r="AN62" s="76" t="str">
        <f t="shared" ca="1" si="174"/>
        <v/>
      </c>
      <c r="AO62" s="177"/>
      <c r="AP62" s="76" t="str">
        <f t="shared" ref="AP62:AR62" ca="1" si="175">IF(MONTH(TODAY())&gt;=$D13,AD62-X62,"")</f>
        <v/>
      </c>
      <c r="AQ62" s="76" t="str">
        <f t="shared" ca="1" si="175"/>
        <v/>
      </c>
      <c r="AR62" s="76" t="str">
        <f t="shared" ca="1" si="175"/>
        <v/>
      </c>
    </row>
    <row r="63" spans="2:44" ht="12.75">
      <c r="B63" s="1" t="s">
        <v>717</v>
      </c>
      <c r="C63" s="1" t="s">
        <v>718</v>
      </c>
      <c r="D63" s="60">
        <v>9</v>
      </c>
      <c r="E63" s="60" t="str">
        <f t="shared" si="123"/>
        <v>&gt;=10/1/24</v>
      </c>
      <c r="F63" s="87" t="s">
        <v>719</v>
      </c>
      <c r="G63" s="130">
        <v>5.8099999999999999E-2</v>
      </c>
      <c r="H63" s="89">
        <f t="shared" si="151"/>
        <v>8</v>
      </c>
      <c r="I63" s="131">
        <f t="shared" si="136"/>
        <v>80.484825287356315</v>
      </c>
      <c r="J63" s="93">
        <f t="shared" si="137"/>
        <v>223483.33333333331</v>
      </c>
      <c r="K63" s="128" t="e">
        <f t="shared" si="124"/>
        <v>#REF!</v>
      </c>
      <c r="L63" s="76" t="e">
        <f>SUMIFS(#REF!,#REF!,$B63,#REF!,$C63,#REF!,$H$51)</f>
        <v>#REF!</v>
      </c>
      <c r="M63" s="81" t="e">
        <f t="shared" si="125"/>
        <v>#REF!</v>
      </c>
      <c r="N63" s="129" t="e">
        <f t="shared" si="126"/>
        <v>#REF!</v>
      </c>
      <c r="O63" s="76" t="e">
        <f t="shared" si="127"/>
        <v>#REF!</v>
      </c>
      <c r="P63" s="76" t="str">
        <f t="shared" ca="1" si="128"/>
        <v/>
      </c>
      <c r="Q63" s="76" t="s">
        <v>698</v>
      </c>
      <c r="R63" s="82" t="str">
        <f t="shared" ca="1" si="129"/>
        <v/>
      </c>
      <c r="S63" s="79" t="e">
        <f t="shared" ref="S63:T63" si="176">COUNTIFS(#REF!,$B63,#REF!,$C63,#REF!,$H$51)</f>
        <v>#REF!</v>
      </c>
      <c r="T63" s="76" t="e">
        <f t="shared" si="176"/>
        <v>#REF!</v>
      </c>
      <c r="U63" s="76" t="str">
        <f t="shared" ca="1" si="131"/>
        <v/>
      </c>
      <c r="V63" s="76" t="s">
        <v>698</v>
      </c>
      <c r="W63" s="82" t="str">
        <f t="shared" ca="1" si="132"/>
        <v/>
      </c>
      <c r="X63" s="132">
        <f t="shared" si="139"/>
        <v>10</v>
      </c>
      <c r="Y63" s="92">
        <f t="shared" si="140"/>
        <v>100</v>
      </c>
      <c r="Z63" s="93">
        <f t="shared" si="141"/>
        <v>277681.04857142863</v>
      </c>
      <c r="AA63" s="85" t="e">
        <f t="shared" si="133"/>
        <v>#REF!</v>
      </c>
      <c r="AB63" s="79" t="e">
        <f>SUMIFS(#REF!,#REF!,$B63,#REF!,$C63,#REF!,$H$51)</f>
        <v>#REF!</v>
      </c>
      <c r="AC63" s="81" t="e">
        <f t="shared" si="134"/>
        <v>#REF!</v>
      </c>
      <c r="AD63" s="79" t="e">
        <f t="shared" si="142"/>
        <v>#REF!</v>
      </c>
      <c r="AE63" s="76" t="e">
        <f>SUMIFS(#REF!,#REF!,$B63,#REF!,$C63,#REF!,$H$51)</f>
        <v>#REF!</v>
      </c>
      <c r="AF63" s="94" t="e">
        <f t="shared" si="143"/>
        <v>#REF!</v>
      </c>
      <c r="AG63" s="177"/>
      <c r="AH63" s="76" t="str">
        <f t="shared" ref="AH63:AJ63" ca="1" si="177">IF(MONTH(TODAY())&gt;=$D14,K63-H63,"")</f>
        <v/>
      </c>
      <c r="AI63" s="76" t="str">
        <f t="shared" ca="1" si="177"/>
        <v/>
      </c>
      <c r="AJ63" s="76" t="str">
        <f t="shared" ca="1" si="177"/>
        <v/>
      </c>
      <c r="AK63" s="177"/>
      <c r="AL63" s="76" t="str">
        <f t="shared" ref="AL63:AN63" ca="1" si="178">IF(MONTH(TODAY())&gt;=$D14,AD63-X63,"")</f>
        <v/>
      </c>
      <c r="AM63" s="76" t="str">
        <f t="shared" ca="1" si="178"/>
        <v/>
      </c>
      <c r="AN63" s="76" t="str">
        <f t="shared" ca="1" si="178"/>
        <v/>
      </c>
      <c r="AO63" s="177"/>
      <c r="AP63" s="76" t="str">
        <f t="shared" ref="AP63:AR63" ca="1" si="179">IF(MONTH(TODAY())&gt;=$D14,AD63-X63,"")</f>
        <v/>
      </c>
      <c r="AQ63" s="76" t="str">
        <f t="shared" ca="1" si="179"/>
        <v/>
      </c>
      <c r="AR63" s="76" t="str">
        <f t="shared" ca="1" si="179"/>
        <v/>
      </c>
    </row>
    <row r="64" spans="2:44" ht="12.75">
      <c r="B64" s="1" t="s">
        <v>720</v>
      </c>
      <c r="C64" s="1" t="s">
        <v>721</v>
      </c>
      <c r="D64" s="60">
        <v>10</v>
      </c>
      <c r="E64" s="60" t="str">
        <f t="shared" si="123"/>
        <v>&gt;=11/1/24</v>
      </c>
      <c r="F64" s="87" t="s">
        <v>722</v>
      </c>
      <c r="G64" s="130">
        <v>9.9599999999999994E-2</v>
      </c>
      <c r="H64" s="89">
        <f t="shared" si="151"/>
        <v>13</v>
      </c>
      <c r="I64" s="131">
        <f t="shared" si="136"/>
        <v>133.10697931034485</v>
      </c>
      <c r="J64" s="93">
        <f t="shared" si="137"/>
        <v>369600</v>
      </c>
      <c r="K64" s="128" t="e">
        <f t="shared" si="124"/>
        <v>#REF!</v>
      </c>
      <c r="L64" s="76" t="e">
        <f>SUMIFS(#REF!,#REF!,$B64,#REF!,$C64,#REF!,$H$51)</f>
        <v>#REF!</v>
      </c>
      <c r="M64" s="81" t="e">
        <f t="shared" si="125"/>
        <v>#REF!</v>
      </c>
      <c r="N64" s="129" t="e">
        <f t="shared" si="126"/>
        <v>#REF!</v>
      </c>
      <c r="O64" s="76" t="e">
        <f t="shared" si="127"/>
        <v>#REF!</v>
      </c>
      <c r="P64" s="76" t="str">
        <f t="shared" ca="1" si="128"/>
        <v/>
      </c>
      <c r="Q64" s="76" t="s">
        <v>698</v>
      </c>
      <c r="R64" s="82" t="str">
        <f t="shared" ca="1" si="129"/>
        <v/>
      </c>
      <c r="S64" s="79" t="e">
        <f t="shared" ref="S64:T64" si="180">COUNTIFS(#REF!,$B64,#REF!,$C64,#REF!,$H$51)</f>
        <v>#REF!</v>
      </c>
      <c r="T64" s="76" t="e">
        <f t="shared" si="180"/>
        <v>#REF!</v>
      </c>
      <c r="U64" s="76" t="str">
        <f t="shared" ca="1" si="131"/>
        <v/>
      </c>
      <c r="V64" s="76" t="s">
        <v>698</v>
      </c>
      <c r="W64" s="82" t="str">
        <f t="shared" ca="1" si="132"/>
        <v/>
      </c>
      <c r="X64" s="132">
        <f t="shared" si="139"/>
        <v>11</v>
      </c>
      <c r="Y64" s="92">
        <f t="shared" si="140"/>
        <v>110</v>
      </c>
      <c r="Z64" s="93">
        <f t="shared" si="141"/>
        <v>305449.15342857147</v>
      </c>
      <c r="AA64" s="85" t="e">
        <f t="shared" si="133"/>
        <v>#REF!</v>
      </c>
      <c r="AB64" s="79" t="e">
        <f>SUMIFS(#REF!,#REF!,$B64,#REF!,$C64,#REF!,$H$51)</f>
        <v>#REF!</v>
      </c>
      <c r="AC64" s="81" t="e">
        <f t="shared" si="134"/>
        <v>#REF!</v>
      </c>
      <c r="AD64" s="79" t="e">
        <f t="shared" si="142"/>
        <v>#REF!</v>
      </c>
      <c r="AE64" s="76" t="e">
        <f>SUMIFS(#REF!,#REF!,$B64,#REF!,$C64,#REF!,$H$51)</f>
        <v>#REF!</v>
      </c>
      <c r="AF64" s="94" t="e">
        <f t="shared" si="143"/>
        <v>#REF!</v>
      </c>
      <c r="AG64" s="177"/>
      <c r="AH64" s="76" t="str">
        <f t="shared" ref="AH64:AJ64" ca="1" si="181">IF(MONTH(TODAY())&gt;=$D15,K64-H64,"")</f>
        <v/>
      </c>
      <c r="AI64" s="76" t="str">
        <f t="shared" ca="1" si="181"/>
        <v/>
      </c>
      <c r="AJ64" s="76" t="str">
        <f t="shared" ca="1" si="181"/>
        <v/>
      </c>
      <c r="AK64" s="177"/>
      <c r="AL64" s="76" t="str">
        <f t="shared" ref="AL64:AN64" ca="1" si="182">IF(MONTH(TODAY())&gt;=$D15,AD64-X64,"")</f>
        <v/>
      </c>
      <c r="AM64" s="76" t="str">
        <f t="shared" ca="1" si="182"/>
        <v/>
      </c>
      <c r="AN64" s="76" t="str">
        <f t="shared" ca="1" si="182"/>
        <v/>
      </c>
      <c r="AO64" s="177"/>
      <c r="AP64" s="76" t="str">
        <f t="shared" ref="AP64:AR64" ca="1" si="183">IF(MONTH(TODAY())&gt;=$D15,AD64-X64,"")</f>
        <v/>
      </c>
      <c r="AQ64" s="76" t="str">
        <f t="shared" ca="1" si="183"/>
        <v/>
      </c>
      <c r="AR64" s="76" t="str">
        <f t="shared" ca="1" si="183"/>
        <v/>
      </c>
    </row>
    <row r="65" spans="2:44" ht="12.75">
      <c r="B65" s="1" t="s">
        <v>723</v>
      </c>
      <c r="C65" s="1" t="s">
        <v>724</v>
      </c>
      <c r="D65" s="60">
        <v>11</v>
      </c>
      <c r="E65" s="60" t="str">
        <f t="shared" si="123"/>
        <v>&gt;=12/1/24</v>
      </c>
      <c r="F65" s="87" t="s">
        <v>725</v>
      </c>
      <c r="G65" s="130">
        <v>9.5399999999999999E-2</v>
      </c>
      <c r="H65" s="89">
        <f t="shared" si="151"/>
        <v>8</v>
      </c>
      <c r="I65" s="131">
        <f t="shared" si="136"/>
        <v>82.309524137931049</v>
      </c>
      <c r="J65" s="93">
        <f t="shared" si="137"/>
        <v>228550</v>
      </c>
      <c r="K65" s="128" t="e">
        <f t="shared" si="124"/>
        <v>#REF!</v>
      </c>
      <c r="L65" s="76" t="e">
        <f>SUMIFS(#REF!,#REF!,$B65,#REF!,$C65,#REF!,$H$51)</f>
        <v>#REF!</v>
      </c>
      <c r="M65" s="81" t="e">
        <f t="shared" si="125"/>
        <v>#REF!</v>
      </c>
      <c r="N65" s="129" t="e">
        <f t="shared" si="126"/>
        <v>#REF!</v>
      </c>
      <c r="O65" s="76" t="e">
        <f t="shared" si="127"/>
        <v>#REF!</v>
      </c>
      <c r="P65" s="76" t="str">
        <f t="shared" ca="1" si="128"/>
        <v/>
      </c>
      <c r="Q65" s="76" t="s">
        <v>698</v>
      </c>
      <c r="R65" s="82" t="str">
        <f t="shared" ca="1" si="129"/>
        <v/>
      </c>
      <c r="S65" s="79" t="e">
        <f t="shared" ref="S65:T65" si="184">COUNTIFS(#REF!,$B65,#REF!,$C65,#REF!,$H$51)</f>
        <v>#REF!</v>
      </c>
      <c r="T65" s="76" t="e">
        <f t="shared" si="184"/>
        <v>#REF!</v>
      </c>
      <c r="U65" s="76" t="str">
        <f t="shared" ca="1" si="131"/>
        <v/>
      </c>
      <c r="V65" s="76" t="s">
        <v>698</v>
      </c>
      <c r="W65" s="82" t="str">
        <f t="shared" ca="1" si="132"/>
        <v/>
      </c>
      <c r="X65" s="132">
        <f t="shared" si="139"/>
        <v>9</v>
      </c>
      <c r="Y65" s="92">
        <f t="shared" si="140"/>
        <v>90</v>
      </c>
      <c r="Z65" s="93">
        <f t="shared" si="141"/>
        <v>249912.94371428576</v>
      </c>
      <c r="AA65" s="85" t="e">
        <f t="shared" si="133"/>
        <v>#REF!</v>
      </c>
      <c r="AB65" s="79" t="e">
        <f>SUMIFS(#REF!,#REF!,$B65,#REF!,$C65,#REF!,$H$51)</f>
        <v>#REF!</v>
      </c>
      <c r="AC65" s="81" t="e">
        <f t="shared" si="134"/>
        <v>#REF!</v>
      </c>
      <c r="AD65" s="79" t="e">
        <f t="shared" si="142"/>
        <v>#REF!</v>
      </c>
      <c r="AE65" s="76" t="e">
        <f>SUMIFS(#REF!,#REF!,$B65,#REF!,$C65,#REF!,$H$51)</f>
        <v>#REF!</v>
      </c>
      <c r="AF65" s="94" t="e">
        <f t="shared" si="143"/>
        <v>#REF!</v>
      </c>
      <c r="AG65" s="177"/>
      <c r="AH65" s="76" t="str">
        <f t="shared" ref="AH65:AJ65" ca="1" si="185">IF(MONTH(TODAY())&gt;=$D16,K65-H65,"")</f>
        <v/>
      </c>
      <c r="AI65" s="76" t="str">
        <f t="shared" ca="1" si="185"/>
        <v/>
      </c>
      <c r="AJ65" s="76" t="str">
        <f t="shared" ca="1" si="185"/>
        <v/>
      </c>
      <c r="AK65" s="177"/>
      <c r="AL65" s="76" t="str">
        <f t="shared" ref="AL65:AN65" ca="1" si="186">IF(MONTH(TODAY())&gt;=$D16,AD65-X65,"")</f>
        <v/>
      </c>
      <c r="AM65" s="76" t="str">
        <f t="shared" ca="1" si="186"/>
        <v/>
      </c>
      <c r="AN65" s="76" t="str">
        <f t="shared" ca="1" si="186"/>
        <v/>
      </c>
      <c r="AO65" s="177"/>
      <c r="AP65" s="76" t="str">
        <f t="shared" ref="AP65:AR65" ca="1" si="187">IF(MONTH(TODAY())&gt;=$D16,AD65-X65,"")</f>
        <v/>
      </c>
      <c r="AQ65" s="76" t="str">
        <f t="shared" ca="1" si="187"/>
        <v/>
      </c>
      <c r="AR65" s="76" t="str">
        <f t="shared" ca="1" si="187"/>
        <v/>
      </c>
    </row>
    <row r="66" spans="2:44" ht="12.75">
      <c r="B66" s="1" t="s">
        <v>726</v>
      </c>
      <c r="C66" s="1" t="s">
        <v>727</v>
      </c>
      <c r="D66" s="60">
        <v>12</v>
      </c>
      <c r="E66" s="60" t="str">
        <f t="shared" si="123"/>
        <v>&gt;=1/1/25</v>
      </c>
      <c r="F66" s="96" t="s">
        <v>728</v>
      </c>
      <c r="G66" s="130">
        <v>6.2199999999999998E-2</v>
      </c>
      <c r="H66" s="89">
        <f t="shared" si="151"/>
        <v>10</v>
      </c>
      <c r="I66" s="131">
        <f t="shared" si="136"/>
        <v>102.22515172413793</v>
      </c>
      <c r="J66" s="93">
        <f t="shared" si="137"/>
        <v>283850</v>
      </c>
      <c r="K66" s="128" t="e">
        <f t="shared" si="124"/>
        <v>#REF!</v>
      </c>
      <c r="L66" s="76" t="e">
        <f>SUMIFS(#REF!,#REF!,$B66,#REF!,$C66,#REF!,$H$51)</f>
        <v>#REF!</v>
      </c>
      <c r="M66" s="81" t="e">
        <f t="shared" si="125"/>
        <v>#REF!</v>
      </c>
      <c r="N66" s="129" t="e">
        <f t="shared" si="126"/>
        <v>#REF!</v>
      </c>
      <c r="O66" s="76" t="e">
        <f t="shared" si="127"/>
        <v>#REF!</v>
      </c>
      <c r="P66" s="76" t="str">
        <f t="shared" ca="1" si="128"/>
        <v/>
      </c>
      <c r="Q66" s="76" t="s">
        <v>698</v>
      </c>
      <c r="R66" s="82" t="str">
        <f t="shared" ca="1" si="129"/>
        <v/>
      </c>
      <c r="S66" s="79" t="e">
        <f t="shared" ref="S66:T66" si="188">COUNTIFS(#REF!,$B66,#REF!,$C66,#REF!,$H$51)</f>
        <v>#REF!</v>
      </c>
      <c r="T66" s="76" t="e">
        <f t="shared" si="188"/>
        <v>#REF!</v>
      </c>
      <c r="U66" s="76" t="str">
        <f t="shared" ca="1" si="131"/>
        <v/>
      </c>
      <c r="V66" s="76" t="s">
        <v>698</v>
      </c>
      <c r="W66" s="82" t="str">
        <f t="shared" ca="1" si="132"/>
        <v/>
      </c>
      <c r="X66" s="132">
        <f t="shared" si="139"/>
        <v>6</v>
      </c>
      <c r="Y66" s="92">
        <f t="shared" si="140"/>
        <v>60</v>
      </c>
      <c r="Z66" s="93">
        <f t="shared" si="141"/>
        <v>166608.62914285716</v>
      </c>
      <c r="AA66" s="85" t="e">
        <f t="shared" si="133"/>
        <v>#REF!</v>
      </c>
      <c r="AB66" s="79" t="e">
        <f>SUMIFS(#REF!,#REF!,$B66,#REF!,$C66,#REF!,$H$51)</f>
        <v>#REF!</v>
      </c>
      <c r="AC66" s="81" t="e">
        <f t="shared" si="134"/>
        <v>#REF!</v>
      </c>
      <c r="AD66" s="79" t="e">
        <f t="shared" si="142"/>
        <v>#REF!</v>
      </c>
      <c r="AE66" s="76" t="e">
        <f>SUMIFS(#REF!,#REF!,$B66,#REF!,$C66,#REF!,$H$51)</f>
        <v>#REF!</v>
      </c>
      <c r="AF66" s="94" t="e">
        <f t="shared" si="143"/>
        <v>#REF!</v>
      </c>
      <c r="AG66" s="177"/>
      <c r="AH66" s="76" t="str">
        <f t="shared" ref="AH66:AJ66" ca="1" si="189">IF(MONTH(TODAY())&gt;=$D17,K66-H66,"")</f>
        <v/>
      </c>
      <c r="AI66" s="76" t="str">
        <f t="shared" ca="1" si="189"/>
        <v/>
      </c>
      <c r="AJ66" s="76" t="str">
        <f t="shared" ca="1" si="189"/>
        <v/>
      </c>
      <c r="AK66" s="177"/>
      <c r="AL66" s="76" t="str">
        <f t="shared" ref="AL66:AN66" ca="1" si="190">IF(MONTH(TODAY())&gt;=$D17,AD66-X66,"")</f>
        <v/>
      </c>
      <c r="AM66" s="76" t="str">
        <f t="shared" ca="1" si="190"/>
        <v/>
      </c>
      <c r="AN66" s="76" t="str">
        <f t="shared" ca="1" si="190"/>
        <v/>
      </c>
      <c r="AO66" s="177"/>
      <c r="AP66" s="76" t="str">
        <f t="shared" ref="AP66:AR66" ca="1" si="191">IF(MONTH(TODAY())&gt;=$D17,AD66-X66,"")</f>
        <v/>
      </c>
      <c r="AQ66" s="76" t="str">
        <f t="shared" ca="1" si="191"/>
        <v/>
      </c>
      <c r="AR66" s="76" t="str">
        <f t="shared" ca="1" si="191"/>
        <v/>
      </c>
    </row>
    <row r="67" spans="2:44" ht="12.75">
      <c r="B67" s="1" t="s">
        <v>729</v>
      </c>
      <c r="C67" s="1" t="s">
        <v>730</v>
      </c>
      <c r="D67" s="40"/>
      <c r="E67" s="97" t="str">
        <f t="shared" si="123"/>
        <v>&gt;=1/1/26</v>
      </c>
      <c r="F67" s="98">
        <v>2025</v>
      </c>
      <c r="G67" s="99" t="s">
        <v>396</v>
      </c>
      <c r="H67" s="100"/>
      <c r="I67" s="100"/>
      <c r="J67" s="101"/>
      <c r="K67" s="133" t="e">
        <f t="shared" si="124"/>
        <v>#REF!</v>
      </c>
      <c r="L67" s="99" t="e">
        <f>SUMIFS(#REF!,#REF!,$B67,#REF!,$C67,#REF!,$H$51)</f>
        <v>#REF!</v>
      </c>
      <c r="M67" s="104" t="e">
        <f t="shared" si="125"/>
        <v>#REF!</v>
      </c>
      <c r="N67" s="134"/>
      <c r="O67" s="100"/>
      <c r="P67" s="100"/>
      <c r="Q67" s="100"/>
      <c r="R67" s="101"/>
      <c r="S67" s="102" t="e">
        <f t="shared" ref="S67:T67" si="192">COUNTIFS(#REF!,$B67,#REF!,$C67,#REF!,$H$51)</f>
        <v>#REF!</v>
      </c>
      <c r="T67" s="99" t="e">
        <f t="shared" si="192"/>
        <v>#REF!</v>
      </c>
      <c r="U67" s="100"/>
      <c r="V67" s="100"/>
      <c r="W67" s="101"/>
      <c r="X67" s="105"/>
      <c r="Y67" s="100"/>
      <c r="Z67" s="101"/>
      <c r="AA67" s="107" t="e">
        <f t="shared" si="133"/>
        <v>#REF!</v>
      </c>
      <c r="AB67" s="102" t="e">
        <f>SUMIFS(#REF!,#REF!,$B67,#REF!,$C67,#REF!,$H$51)</f>
        <v>#REF!</v>
      </c>
      <c r="AC67" s="104" t="e">
        <f t="shared" si="134"/>
        <v>#REF!</v>
      </c>
      <c r="AD67" s="105"/>
      <c r="AE67" s="100"/>
      <c r="AF67" s="108"/>
      <c r="AG67" s="177"/>
      <c r="AH67" s="135"/>
      <c r="AI67" s="135"/>
      <c r="AJ67" s="135"/>
      <c r="AK67" s="177"/>
      <c r="AL67" s="135"/>
      <c r="AM67" s="135"/>
      <c r="AN67" s="135"/>
      <c r="AO67" s="177"/>
      <c r="AP67" s="135"/>
      <c r="AQ67" s="135"/>
      <c r="AR67" s="135"/>
    </row>
    <row r="68" spans="2:44" ht="12.75">
      <c r="B68" s="177"/>
      <c r="C68" s="177"/>
      <c r="D68" s="1"/>
      <c r="E68" s="1"/>
      <c r="F68" s="109" t="s">
        <v>731</v>
      </c>
      <c r="G68" s="109" t="s">
        <v>396</v>
      </c>
      <c r="H68" s="120">
        <f>100*1.0444</f>
        <v>104.44</v>
      </c>
      <c r="I68" s="114">
        <f>1000*1.0444</f>
        <v>1044.4000000000001</v>
      </c>
      <c r="J68" s="118">
        <f>2900000</f>
        <v>2900000</v>
      </c>
      <c r="K68" s="136" t="e">
        <f t="shared" ref="K68:O68" si="193">SUM(K54:K67)</f>
        <v>#REF!</v>
      </c>
      <c r="L68" s="109" t="e">
        <f t="shared" si="193"/>
        <v>#REF!</v>
      </c>
      <c r="M68" s="137" t="e">
        <f t="shared" si="193"/>
        <v>#REF!</v>
      </c>
      <c r="N68" s="113" t="e">
        <f t="shared" si="193"/>
        <v>#REF!</v>
      </c>
      <c r="O68" s="109" t="e">
        <f t="shared" si="193"/>
        <v>#REF!</v>
      </c>
      <c r="P68" s="109" t="e">
        <f t="shared" ref="P68:R68" ca="1" si="194">INDEX(P54:P67,MONTH(TODAY())+1)</f>
        <v>#REF!</v>
      </c>
      <c r="Q68" s="109" t="str">
        <f t="shared" ca="1" si="194"/>
        <v/>
      </c>
      <c r="R68" s="115" t="e">
        <f t="shared" ca="1" si="194"/>
        <v>#REF!</v>
      </c>
      <c r="S68" s="113" t="e">
        <f t="shared" ref="S68:T68" si="195">SUM(S54:S67)</f>
        <v>#REF!</v>
      </c>
      <c r="T68" s="109" t="e">
        <f t="shared" si="195"/>
        <v>#REF!</v>
      </c>
      <c r="U68" s="109" t="e">
        <f t="shared" ref="U68:W68" ca="1" si="196">INDEX(U54:U67,MONTH(TODAY())+1)</f>
        <v>#REF!</v>
      </c>
      <c r="V68" s="109" t="str">
        <f t="shared" ca="1" si="196"/>
        <v/>
      </c>
      <c r="W68" s="115" t="e">
        <f t="shared" ca="1" si="196"/>
        <v>#REF!</v>
      </c>
      <c r="X68" s="138">
        <f t="shared" ref="X68:Y68" si="197">SUM(X54:X67)</f>
        <v>100</v>
      </c>
      <c r="Y68" s="139">
        <f t="shared" si="197"/>
        <v>1000</v>
      </c>
      <c r="Z68" s="140">
        <f>J68/J19*Z19</f>
        <v>2776810.4857142861</v>
      </c>
      <c r="AA68" s="119" t="e">
        <f t="shared" ref="AA68:AF68" si="198">SUM(AA54:AA67)</f>
        <v>#REF!</v>
      </c>
      <c r="AB68" s="113" t="e">
        <f t="shared" si="198"/>
        <v>#REF!</v>
      </c>
      <c r="AC68" s="137" t="e">
        <f t="shared" si="198"/>
        <v>#REF!</v>
      </c>
      <c r="AD68" s="113" t="e">
        <f t="shared" si="198"/>
        <v>#REF!</v>
      </c>
      <c r="AE68" s="109" t="e">
        <f t="shared" si="198"/>
        <v>#REF!</v>
      </c>
      <c r="AF68" s="121" t="e">
        <f t="shared" si="198"/>
        <v>#REF!</v>
      </c>
      <c r="AG68" s="177"/>
      <c r="AH68" s="120" t="e">
        <f ca="1">SUM(AH55:AH66)</f>
        <v>#REF!</v>
      </c>
      <c r="AI68" s="109" t="e">
        <f t="shared" ref="AI68:AJ68" ca="1" si="199">SUM(AI55:AI67)</f>
        <v>#REF!</v>
      </c>
      <c r="AJ68" s="109" t="e">
        <f t="shared" ca="1" si="199"/>
        <v>#REF!</v>
      </c>
      <c r="AK68" s="177"/>
      <c r="AL68" s="109" t="e">
        <f t="shared" ref="AL68:AN68" ca="1" si="200">SUM(AL55:AL67)</f>
        <v>#REF!</v>
      </c>
      <c r="AM68" s="109" t="e">
        <f t="shared" ca="1" si="200"/>
        <v>#REF!</v>
      </c>
      <c r="AN68" s="109" t="e">
        <f t="shared" ca="1" si="200"/>
        <v>#REF!</v>
      </c>
      <c r="AO68" s="177"/>
      <c r="AP68" s="109" t="e">
        <f t="shared" ref="AP68:AR68" ca="1" si="201">SUM(AP54:AP67)</f>
        <v>#REF!</v>
      </c>
      <c r="AQ68" s="109" t="e">
        <f t="shared" ca="1" si="201"/>
        <v>#REF!</v>
      </c>
      <c r="AR68" s="109" t="e">
        <f t="shared" ca="1" si="201"/>
        <v>#REF!</v>
      </c>
    </row>
    <row r="69" spans="2:44" ht="12.75">
      <c r="B69" s="177"/>
      <c r="C69" s="177"/>
      <c r="D69" s="1"/>
      <c r="E69" s="1"/>
      <c r="F69" s="76" t="s">
        <v>732</v>
      </c>
      <c r="G69" s="76" t="s">
        <v>396</v>
      </c>
      <c r="H69" s="77"/>
      <c r="I69" s="77"/>
      <c r="J69" s="78"/>
      <c r="K69" s="128" t="e">
        <f t="shared" ref="K69:O69" si="202">SUM(K55:K66)</f>
        <v>#REF!</v>
      </c>
      <c r="L69" s="76" t="e">
        <f t="shared" si="202"/>
        <v>#REF!</v>
      </c>
      <c r="M69" s="81" t="e">
        <f t="shared" si="202"/>
        <v>#REF!</v>
      </c>
      <c r="N69" s="79" t="e">
        <f t="shared" si="202"/>
        <v>#REF!</v>
      </c>
      <c r="O69" s="76" t="e">
        <f t="shared" si="202"/>
        <v>#REF!</v>
      </c>
      <c r="P69" s="77"/>
      <c r="Q69" s="77"/>
      <c r="R69" s="78"/>
      <c r="S69" s="79" t="e">
        <f t="shared" ref="S69:T69" si="203">SUM(S55:S66)</f>
        <v>#REF!</v>
      </c>
      <c r="T69" s="76" t="e">
        <f t="shared" si="203"/>
        <v>#REF!</v>
      </c>
      <c r="U69" s="77"/>
      <c r="V69" s="77"/>
      <c r="W69" s="78"/>
      <c r="X69" s="79">
        <f t="shared" ref="X69:Z69" si="204">SUM(X55:X66)</f>
        <v>100</v>
      </c>
      <c r="Y69" s="76">
        <f t="shared" si="204"/>
        <v>1000</v>
      </c>
      <c r="Z69" s="81">
        <f t="shared" si="204"/>
        <v>2776810.4857142861</v>
      </c>
      <c r="AA69" s="85" t="e">
        <f t="shared" ref="AA69:AC69" si="205">SUM(AA54:AA67)</f>
        <v>#REF!</v>
      </c>
      <c r="AB69" s="79" t="e">
        <f t="shared" si="205"/>
        <v>#REF!</v>
      </c>
      <c r="AC69" s="81" t="e">
        <f t="shared" si="205"/>
        <v>#REF!</v>
      </c>
      <c r="AD69" s="83"/>
      <c r="AE69" s="77"/>
      <c r="AF69" s="86"/>
      <c r="AG69" s="177"/>
      <c r="AH69" s="77"/>
      <c r="AI69" s="77"/>
      <c r="AJ69" s="77"/>
      <c r="AK69" s="177"/>
      <c r="AL69" s="77"/>
      <c r="AM69" s="77"/>
      <c r="AN69" s="77"/>
      <c r="AO69" s="177"/>
      <c r="AP69" s="76" t="e">
        <f t="shared" ref="AP69:AR69" ca="1" si="206">SUM(AP55:AP66)</f>
        <v>#REF!</v>
      </c>
      <c r="AQ69" s="76" t="e">
        <f t="shared" ca="1" si="206"/>
        <v>#REF!</v>
      </c>
      <c r="AR69" s="76" t="e">
        <f t="shared" ca="1" si="206"/>
        <v>#REF!</v>
      </c>
    </row>
    <row r="71" spans="2:44" ht="12.75">
      <c r="B71" s="177"/>
      <c r="C71" s="177"/>
      <c r="D71" s="177"/>
      <c r="E71" s="177"/>
      <c r="F71" s="177"/>
      <c r="G71" s="177"/>
      <c r="H71" s="177"/>
      <c r="I71" s="177"/>
      <c r="J71" s="1">
        <v>2450980</v>
      </c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77"/>
      <c r="AI71" s="177"/>
      <c r="AJ71" s="177"/>
      <c r="AK71" s="177"/>
      <c r="AL71" s="177"/>
      <c r="AM71" s="177"/>
      <c r="AN71" s="177"/>
      <c r="AO71" s="177"/>
      <c r="AP71" s="177"/>
      <c r="AQ71" s="177"/>
      <c r="AR71" s="177"/>
    </row>
    <row r="72" spans="2:44" ht="12.75"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204" t="s">
        <v>745</v>
      </c>
      <c r="AI72" s="205"/>
      <c r="AJ72" s="206"/>
      <c r="AK72" s="177"/>
      <c r="AL72" s="204" t="s">
        <v>746</v>
      </c>
      <c r="AM72" s="205"/>
      <c r="AN72" s="206"/>
      <c r="AO72" s="177"/>
      <c r="AP72" s="177"/>
      <c r="AQ72" s="177"/>
      <c r="AR72" s="177"/>
    </row>
    <row r="73" spans="2:44" ht="12.75">
      <c r="B73" s="177"/>
      <c r="C73" s="177"/>
      <c r="D73" s="63"/>
      <c r="E73" s="63"/>
      <c r="F73" s="64" t="s">
        <v>673</v>
      </c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" t="s">
        <v>747</v>
      </c>
      <c r="AG73" s="177"/>
      <c r="AH73" s="207" t="s">
        <v>755</v>
      </c>
      <c r="AI73" s="200"/>
      <c r="AJ73" s="203"/>
      <c r="AK73" s="177"/>
      <c r="AL73" s="208" t="s">
        <v>756</v>
      </c>
      <c r="AM73" s="205"/>
      <c r="AN73" s="206"/>
      <c r="AO73" s="177"/>
      <c r="AP73" s="177"/>
      <c r="AQ73" s="177"/>
      <c r="AR73" s="177"/>
    </row>
    <row r="74" spans="2:44" ht="12.75">
      <c r="B74" s="177"/>
      <c r="C74" s="177"/>
      <c r="D74" s="60"/>
      <c r="E74" s="60"/>
      <c r="F74" s="87" t="s">
        <v>694</v>
      </c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">
        <v>12</v>
      </c>
      <c r="AG74" s="177"/>
      <c r="AH74" s="123" t="str">
        <f t="shared" ref="AH74:AH85" ca="1" si="207">IF(MONTH(TODAY())=$D6,$AH$86/$AF74,"")</f>
        <v/>
      </c>
      <c r="AI74" s="80" t="str">
        <f t="shared" ref="AI74:AI85" ca="1" si="208">IF(MONTH(TODAY())=$D6,$AI$86/$AF74,"")</f>
        <v/>
      </c>
      <c r="AJ74" s="76" t="str">
        <f t="shared" ref="AJ74:AJ85" ca="1" si="209">IF(MONTH(TODAY())=$D6,$AJ$86/AF74,"")</f>
        <v/>
      </c>
      <c r="AK74" s="177"/>
      <c r="AL74" s="95" t="str">
        <f t="shared" ref="AL74:AL85" ca="1" si="210">IF(MONTH(TODAY())=$D6,$AL$86/$AF74,"")</f>
        <v/>
      </c>
      <c r="AM74" s="80" t="str">
        <f t="shared" ref="AM74:AM85" ca="1" si="211">IF(MONTH(TODAY())=$D6,$AM$86/$AF74,"")</f>
        <v/>
      </c>
      <c r="AN74" s="76" t="str">
        <f t="shared" ref="AN74:AN85" ca="1" si="212">IF(MONTH(TODAY())=$D6,$AN$86/AF74,"")</f>
        <v/>
      </c>
      <c r="AO74" s="177"/>
      <c r="AP74" s="177"/>
      <c r="AQ74" s="177"/>
      <c r="AR74" s="177"/>
    </row>
    <row r="75" spans="2:44" ht="12.75">
      <c r="B75" s="177"/>
      <c r="C75" s="177"/>
      <c r="D75" s="60"/>
      <c r="E75" s="60"/>
      <c r="F75" s="87" t="s">
        <v>697</v>
      </c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">
        <v>11</v>
      </c>
      <c r="AG75" s="177"/>
      <c r="AH75" s="123" t="str">
        <f t="shared" ca="1" si="207"/>
        <v/>
      </c>
      <c r="AI75" s="80" t="str">
        <f t="shared" ca="1" si="208"/>
        <v/>
      </c>
      <c r="AJ75" s="76" t="str">
        <f t="shared" ca="1" si="209"/>
        <v/>
      </c>
      <c r="AK75" s="177"/>
      <c r="AL75" s="95" t="str">
        <f t="shared" ca="1" si="210"/>
        <v/>
      </c>
      <c r="AM75" s="80" t="str">
        <f t="shared" ca="1" si="211"/>
        <v/>
      </c>
      <c r="AN75" s="76" t="str">
        <f t="shared" ca="1" si="212"/>
        <v/>
      </c>
      <c r="AO75" s="177"/>
      <c r="AP75" s="177"/>
      <c r="AQ75" s="177"/>
      <c r="AR75" s="177"/>
    </row>
    <row r="76" spans="2:44" ht="12.75">
      <c r="B76" s="177"/>
      <c r="C76" s="177"/>
      <c r="D76" s="60"/>
      <c r="E76" s="60"/>
      <c r="F76" s="87" t="s">
        <v>701</v>
      </c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">
        <v>10</v>
      </c>
      <c r="AG76" s="177"/>
      <c r="AH76" s="123" t="e">
        <f t="shared" ca="1" si="207"/>
        <v>#REF!</v>
      </c>
      <c r="AI76" s="80" t="e">
        <f t="shared" ca="1" si="208"/>
        <v>#REF!</v>
      </c>
      <c r="AJ76" s="76" t="e">
        <f t="shared" ca="1" si="209"/>
        <v>#REF!</v>
      </c>
      <c r="AK76" s="177"/>
      <c r="AL76" s="95" t="e">
        <f t="shared" ca="1" si="210"/>
        <v>#REF!</v>
      </c>
      <c r="AM76" s="80" t="e">
        <f t="shared" ca="1" si="211"/>
        <v>#REF!</v>
      </c>
      <c r="AN76" s="76" t="e">
        <f t="shared" ca="1" si="212"/>
        <v>#REF!</v>
      </c>
      <c r="AO76" s="177"/>
      <c r="AP76" s="177"/>
      <c r="AQ76" s="177"/>
      <c r="AR76" s="177"/>
    </row>
    <row r="77" spans="2:44" ht="12.75">
      <c r="B77" s="177"/>
      <c r="C77" s="177"/>
      <c r="D77" s="60"/>
      <c r="E77" s="60"/>
      <c r="F77" s="87" t="s">
        <v>704</v>
      </c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">
        <v>9</v>
      </c>
      <c r="AG77" s="177"/>
      <c r="AH77" s="123" t="str">
        <f t="shared" ca="1" si="207"/>
        <v/>
      </c>
      <c r="AI77" s="80" t="str">
        <f t="shared" ca="1" si="208"/>
        <v/>
      </c>
      <c r="AJ77" s="76" t="str">
        <f t="shared" ca="1" si="209"/>
        <v/>
      </c>
      <c r="AK77" s="177"/>
      <c r="AL77" s="95" t="str">
        <f t="shared" ca="1" si="210"/>
        <v/>
      </c>
      <c r="AM77" s="80" t="str">
        <f t="shared" ca="1" si="211"/>
        <v/>
      </c>
      <c r="AN77" s="76" t="str">
        <f t="shared" ca="1" si="212"/>
        <v/>
      </c>
      <c r="AO77" s="177"/>
      <c r="AP77" s="177"/>
      <c r="AQ77" s="177"/>
      <c r="AR77" s="177"/>
    </row>
    <row r="78" spans="2:44" ht="12.75">
      <c r="B78" s="177"/>
      <c r="C78" s="177"/>
      <c r="D78" s="60"/>
      <c r="E78" s="60"/>
      <c r="F78" s="87" t="s">
        <v>707</v>
      </c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">
        <v>8</v>
      </c>
      <c r="AG78" s="177"/>
      <c r="AH78" s="123" t="str">
        <f t="shared" ca="1" si="207"/>
        <v/>
      </c>
      <c r="AI78" s="80" t="str">
        <f t="shared" ca="1" si="208"/>
        <v/>
      </c>
      <c r="AJ78" s="76" t="str">
        <f t="shared" ca="1" si="209"/>
        <v/>
      </c>
      <c r="AK78" s="177"/>
      <c r="AL78" s="95" t="str">
        <f t="shared" ca="1" si="210"/>
        <v/>
      </c>
      <c r="AM78" s="80" t="str">
        <f t="shared" ca="1" si="211"/>
        <v/>
      </c>
      <c r="AN78" s="76" t="str">
        <f t="shared" ca="1" si="212"/>
        <v/>
      </c>
      <c r="AO78" s="177"/>
      <c r="AP78" s="177"/>
      <c r="AQ78" s="177"/>
      <c r="AR78" s="177"/>
    </row>
    <row r="79" spans="2:44" ht="12.75">
      <c r="B79" s="177"/>
      <c r="C79" s="177"/>
      <c r="D79" s="60"/>
      <c r="E79" s="60"/>
      <c r="F79" s="87" t="s">
        <v>710</v>
      </c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">
        <v>7</v>
      </c>
      <c r="AG79" s="177"/>
      <c r="AH79" s="123" t="str">
        <f t="shared" ca="1" si="207"/>
        <v/>
      </c>
      <c r="AI79" s="80" t="str">
        <f t="shared" ca="1" si="208"/>
        <v/>
      </c>
      <c r="AJ79" s="76" t="str">
        <f t="shared" ca="1" si="209"/>
        <v/>
      </c>
      <c r="AK79" s="177"/>
      <c r="AL79" s="95" t="str">
        <f t="shared" ca="1" si="210"/>
        <v/>
      </c>
      <c r="AM79" s="80" t="str">
        <f t="shared" ca="1" si="211"/>
        <v/>
      </c>
      <c r="AN79" s="76" t="str">
        <f t="shared" ca="1" si="212"/>
        <v/>
      </c>
      <c r="AO79" s="177"/>
      <c r="AP79" s="177"/>
      <c r="AQ79" s="177"/>
      <c r="AR79" s="177"/>
    </row>
    <row r="80" spans="2:44" ht="12.75">
      <c r="B80" s="177"/>
      <c r="C80" s="177"/>
      <c r="D80" s="60"/>
      <c r="E80" s="60"/>
      <c r="F80" s="87" t="s">
        <v>713</v>
      </c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">
        <v>6</v>
      </c>
      <c r="AG80" s="177"/>
      <c r="AH80" s="123" t="str">
        <f t="shared" ca="1" si="207"/>
        <v/>
      </c>
      <c r="AI80" s="80" t="str">
        <f t="shared" ca="1" si="208"/>
        <v/>
      </c>
      <c r="AJ80" s="76" t="str">
        <f t="shared" ca="1" si="209"/>
        <v/>
      </c>
      <c r="AK80" s="177"/>
      <c r="AL80" s="95" t="str">
        <f t="shared" ca="1" si="210"/>
        <v/>
      </c>
      <c r="AM80" s="80" t="str">
        <f t="shared" ca="1" si="211"/>
        <v/>
      </c>
      <c r="AN80" s="76" t="str">
        <f t="shared" ca="1" si="212"/>
        <v/>
      </c>
      <c r="AO80" s="177"/>
      <c r="AP80" s="177"/>
      <c r="AQ80" s="177"/>
      <c r="AR80" s="177"/>
    </row>
    <row r="81" spans="2:44" ht="12.75">
      <c r="B81" s="177"/>
      <c r="C81" s="177"/>
      <c r="D81" s="60"/>
      <c r="E81" s="60"/>
      <c r="F81" s="87" t="s">
        <v>716</v>
      </c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">
        <v>5</v>
      </c>
      <c r="AG81" s="177"/>
      <c r="AH81" s="123" t="str">
        <f t="shared" ca="1" si="207"/>
        <v/>
      </c>
      <c r="AI81" s="80" t="str">
        <f t="shared" ca="1" si="208"/>
        <v/>
      </c>
      <c r="AJ81" s="76" t="str">
        <f t="shared" ca="1" si="209"/>
        <v/>
      </c>
      <c r="AK81" s="177"/>
      <c r="AL81" s="95" t="str">
        <f t="shared" ca="1" si="210"/>
        <v/>
      </c>
      <c r="AM81" s="80" t="str">
        <f t="shared" ca="1" si="211"/>
        <v/>
      </c>
      <c r="AN81" s="76" t="str">
        <f t="shared" ca="1" si="212"/>
        <v/>
      </c>
      <c r="AO81" s="177"/>
      <c r="AP81" s="177"/>
      <c r="AQ81" s="177"/>
      <c r="AR81" s="177"/>
    </row>
    <row r="82" spans="2:44" ht="12.75">
      <c r="B82" s="177"/>
      <c r="C82" s="177"/>
      <c r="D82" s="60"/>
      <c r="E82" s="60"/>
      <c r="F82" s="87" t="s">
        <v>719</v>
      </c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">
        <v>4</v>
      </c>
      <c r="AG82" s="177"/>
      <c r="AH82" s="123" t="str">
        <f t="shared" ca="1" si="207"/>
        <v/>
      </c>
      <c r="AI82" s="80" t="str">
        <f t="shared" ca="1" si="208"/>
        <v/>
      </c>
      <c r="AJ82" s="76" t="str">
        <f t="shared" ca="1" si="209"/>
        <v/>
      </c>
      <c r="AK82" s="177"/>
      <c r="AL82" s="95" t="str">
        <f t="shared" ca="1" si="210"/>
        <v/>
      </c>
      <c r="AM82" s="80" t="str">
        <f t="shared" ca="1" si="211"/>
        <v/>
      </c>
      <c r="AN82" s="76" t="str">
        <f t="shared" ca="1" si="212"/>
        <v/>
      </c>
      <c r="AO82" s="177"/>
      <c r="AP82" s="177"/>
      <c r="AQ82" s="177"/>
      <c r="AR82" s="177"/>
    </row>
    <row r="83" spans="2:44" ht="12.75">
      <c r="B83" s="177"/>
      <c r="C83" s="177"/>
      <c r="D83" s="60"/>
      <c r="E83" s="60"/>
      <c r="F83" s="87" t="s">
        <v>722</v>
      </c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">
        <v>3</v>
      </c>
      <c r="AG83" s="177"/>
      <c r="AH83" s="123" t="str">
        <f t="shared" ca="1" si="207"/>
        <v/>
      </c>
      <c r="AI83" s="80" t="str">
        <f t="shared" ca="1" si="208"/>
        <v/>
      </c>
      <c r="AJ83" s="76" t="str">
        <f t="shared" ca="1" si="209"/>
        <v/>
      </c>
      <c r="AK83" s="177"/>
      <c r="AL83" s="95" t="str">
        <f t="shared" ca="1" si="210"/>
        <v/>
      </c>
      <c r="AM83" s="80" t="str">
        <f t="shared" ca="1" si="211"/>
        <v/>
      </c>
      <c r="AN83" s="76" t="str">
        <f t="shared" ca="1" si="212"/>
        <v/>
      </c>
      <c r="AO83" s="177"/>
      <c r="AP83" s="177"/>
      <c r="AQ83" s="177"/>
      <c r="AR83" s="177"/>
    </row>
    <row r="84" spans="2:44" ht="12.75">
      <c r="B84" s="177"/>
      <c r="C84" s="177"/>
      <c r="D84" s="60"/>
      <c r="E84" s="60"/>
      <c r="F84" s="87" t="s">
        <v>725</v>
      </c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">
        <v>2</v>
      </c>
      <c r="AG84" s="177"/>
      <c r="AH84" s="123" t="str">
        <f t="shared" ca="1" si="207"/>
        <v/>
      </c>
      <c r="AI84" s="80" t="str">
        <f t="shared" ca="1" si="208"/>
        <v/>
      </c>
      <c r="AJ84" s="76" t="str">
        <f t="shared" ca="1" si="209"/>
        <v/>
      </c>
      <c r="AK84" s="177"/>
      <c r="AL84" s="95" t="str">
        <f t="shared" ca="1" si="210"/>
        <v/>
      </c>
      <c r="AM84" s="80" t="str">
        <f t="shared" ca="1" si="211"/>
        <v/>
      </c>
      <c r="AN84" s="76" t="str">
        <f t="shared" ca="1" si="212"/>
        <v/>
      </c>
      <c r="AO84" s="177"/>
      <c r="AP84" s="177"/>
      <c r="AQ84" s="177"/>
      <c r="AR84" s="177"/>
    </row>
    <row r="85" spans="2:44" ht="12.75">
      <c r="B85" s="177"/>
      <c r="C85" s="177"/>
      <c r="D85" s="60"/>
      <c r="E85" s="60"/>
      <c r="F85" s="96" t="s">
        <v>728</v>
      </c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">
        <v>1</v>
      </c>
      <c r="AG85" s="177"/>
      <c r="AH85" s="124" t="str">
        <f t="shared" ca="1" si="207"/>
        <v/>
      </c>
      <c r="AI85" s="103" t="str">
        <f t="shared" ca="1" si="208"/>
        <v/>
      </c>
      <c r="AJ85" s="99" t="str">
        <f t="shared" ca="1" si="209"/>
        <v/>
      </c>
      <c r="AK85" s="177"/>
      <c r="AL85" s="141" t="str">
        <f t="shared" ca="1" si="210"/>
        <v/>
      </c>
      <c r="AM85" s="103" t="str">
        <f t="shared" ca="1" si="211"/>
        <v/>
      </c>
      <c r="AN85" s="99" t="str">
        <f t="shared" ca="1" si="212"/>
        <v/>
      </c>
      <c r="AO85" s="177"/>
      <c r="AP85" s="177"/>
      <c r="AQ85" s="177"/>
      <c r="AR85" s="177"/>
    </row>
    <row r="86" spans="2:44" ht="12.75">
      <c r="B86" s="177"/>
      <c r="C86" s="177"/>
      <c r="D86" s="1"/>
      <c r="E86" s="1"/>
      <c r="F86" s="76" t="s">
        <v>731</v>
      </c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20" t="e">
        <f t="shared" ref="AH86:AJ86" si="213">H68-K69</f>
        <v>#REF!</v>
      </c>
      <c r="AI86" s="109" t="e">
        <f t="shared" si="213"/>
        <v>#REF!</v>
      </c>
      <c r="AJ86" s="109" t="e">
        <f t="shared" si="213"/>
        <v>#REF!</v>
      </c>
      <c r="AK86" s="177"/>
      <c r="AL86" s="109" t="e">
        <f t="shared" ref="AL86:AN86" si="214">X68-AD68</f>
        <v>#REF!</v>
      </c>
      <c r="AM86" s="109" t="e">
        <f t="shared" si="214"/>
        <v>#REF!</v>
      </c>
      <c r="AN86" s="109" t="e">
        <f t="shared" si="214"/>
        <v>#REF!</v>
      </c>
      <c r="AO86" s="177"/>
      <c r="AP86" s="177"/>
      <c r="AQ86" s="177"/>
      <c r="AR86" s="177"/>
    </row>
    <row r="89" spans="2:44" ht="12.75">
      <c r="B89" s="177"/>
      <c r="C89" s="177"/>
      <c r="D89" s="177"/>
      <c r="E89" s="177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  <c r="AM89" s="142"/>
      <c r="AN89" s="142"/>
      <c r="AO89" s="142"/>
      <c r="AP89" s="142"/>
      <c r="AQ89" s="142"/>
      <c r="AR89" s="142"/>
    </row>
    <row r="91" spans="2:44" ht="18">
      <c r="B91" s="177"/>
      <c r="C91" s="177"/>
      <c r="D91" s="177"/>
      <c r="E91" s="177"/>
      <c r="F91" s="177"/>
      <c r="G91" s="177"/>
      <c r="H91" s="209" t="s">
        <v>757</v>
      </c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  <c r="AG91" s="205"/>
      <c r="AH91" s="205"/>
      <c r="AI91" s="205"/>
      <c r="AJ91" s="205"/>
      <c r="AK91" s="205"/>
      <c r="AL91" s="205"/>
      <c r="AM91" s="205"/>
      <c r="AN91" s="205"/>
      <c r="AO91" s="205"/>
      <c r="AP91" s="205"/>
      <c r="AQ91" s="205"/>
      <c r="AR91" s="206"/>
    </row>
    <row r="92" spans="2:44" ht="12.75">
      <c r="B92" s="177"/>
      <c r="C92" s="177"/>
      <c r="D92" s="177"/>
      <c r="E92" s="177"/>
      <c r="F92" s="177"/>
      <c r="G92" s="177"/>
      <c r="H92" s="210" t="s">
        <v>663</v>
      </c>
      <c r="I92" s="200"/>
      <c r="J92" s="203"/>
      <c r="K92" s="214" t="s">
        <v>751</v>
      </c>
      <c r="L92" s="200"/>
      <c r="M92" s="201"/>
      <c r="N92" s="211" t="s">
        <v>665</v>
      </c>
      <c r="O92" s="205"/>
      <c r="P92" s="205"/>
      <c r="Q92" s="205"/>
      <c r="R92" s="213"/>
      <c r="S92" s="211" t="s">
        <v>666</v>
      </c>
      <c r="T92" s="205"/>
      <c r="U92" s="205"/>
      <c r="V92" s="205"/>
      <c r="W92" s="213"/>
      <c r="X92" s="199" t="s">
        <v>667</v>
      </c>
      <c r="Y92" s="200"/>
      <c r="Z92" s="201"/>
      <c r="AA92" s="199" t="s">
        <v>752</v>
      </c>
      <c r="AB92" s="200"/>
      <c r="AC92" s="201"/>
      <c r="AD92" s="199" t="s">
        <v>753</v>
      </c>
      <c r="AE92" s="200"/>
      <c r="AF92" s="203"/>
      <c r="AG92" s="177"/>
      <c r="AH92" s="202" t="s">
        <v>670</v>
      </c>
      <c r="AI92" s="200"/>
      <c r="AJ92" s="203"/>
      <c r="AK92" s="40"/>
      <c r="AL92" s="202" t="s">
        <v>671</v>
      </c>
      <c r="AM92" s="200"/>
      <c r="AN92" s="203"/>
      <c r="AO92" s="177"/>
      <c r="AP92" s="202" t="s">
        <v>672</v>
      </c>
      <c r="AQ92" s="200"/>
      <c r="AR92" s="203"/>
    </row>
    <row r="93" spans="2:44" ht="89.25">
      <c r="B93" s="177"/>
      <c r="C93" s="177"/>
      <c r="D93" s="63"/>
      <c r="E93" s="63"/>
      <c r="F93" s="64" t="s">
        <v>673</v>
      </c>
      <c r="G93" s="65" t="s">
        <v>758</v>
      </c>
      <c r="H93" s="66" t="s">
        <v>675</v>
      </c>
      <c r="I93" s="67" t="s">
        <v>676</v>
      </c>
      <c r="J93" s="68" t="s">
        <v>677</v>
      </c>
      <c r="K93" s="127" t="s">
        <v>675</v>
      </c>
      <c r="L93" s="67" t="s">
        <v>676</v>
      </c>
      <c r="M93" s="68" t="s">
        <v>677</v>
      </c>
      <c r="N93" s="70" t="s">
        <v>678</v>
      </c>
      <c r="O93" s="71" t="s">
        <v>679</v>
      </c>
      <c r="P93" s="71" t="s">
        <v>680</v>
      </c>
      <c r="Q93" s="71" t="s">
        <v>681</v>
      </c>
      <c r="R93" s="68" t="s">
        <v>682</v>
      </c>
      <c r="S93" s="70" t="s">
        <v>683</v>
      </c>
      <c r="T93" s="71" t="s">
        <v>684</v>
      </c>
      <c r="U93" s="71" t="s">
        <v>685</v>
      </c>
      <c r="V93" s="71" t="s">
        <v>686</v>
      </c>
      <c r="W93" s="68" t="s">
        <v>687</v>
      </c>
      <c r="X93" s="72" t="s">
        <v>688</v>
      </c>
      <c r="Y93" s="73" t="s">
        <v>581</v>
      </c>
      <c r="Z93" s="68" t="s">
        <v>689</v>
      </c>
      <c r="AA93" s="72" t="s">
        <v>688</v>
      </c>
      <c r="AB93" s="73" t="s">
        <v>581</v>
      </c>
      <c r="AC93" s="68" t="s">
        <v>689</v>
      </c>
      <c r="AD93" s="74" t="s">
        <v>688</v>
      </c>
      <c r="AE93" s="73" t="s">
        <v>581</v>
      </c>
      <c r="AF93" s="71" t="s">
        <v>689</v>
      </c>
      <c r="AG93" s="177"/>
      <c r="AH93" s="73" t="s">
        <v>675</v>
      </c>
      <c r="AI93" s="73" t="s">
        <v>676</v>
      </c>
      <c r="AJ93" s="71" t="s">
        <v>677</v>
      </c>
      <c r="AK93" s="36"/>
      <c r="AL93" s="73" t="s">
        <v>688</v>
      </c>
      <c r="AM93" s="73" t="s">
        <v>581</v>
      </c>
      <c r="AN93" s="71" t="s">
        <v>689</v>
      </c>
      <c r="AO93" s="177"/>
      <c r="AP93" s="73" t="s">
        <v>688</v>
      </c>
      <c r="AQ93" s="73" t="s">
        <v>581</v>
      </c>
      <c r="AR93" s="71" t="s">
        <v>689</v>
      </c>
    </row>
    <row r="94" spans="2:44" ht="12.75">
      <c r="B94" s="1" t="s">
        <v>690</v>
      </c>
      <c r="C94" s="1" t="s">
        <v>691</v>
      </c>
      <c r="D94" s="61">
        <v>0</v>
      </c>
      <c r="E94" s="178" t="str">
        <f t="shared" ref="E94:E107" si="215">CONCATENATE(LEFT(B94,FIND("&gt;=",B94) + 1),RIGHT(C94,LEN(C94) - (FIND("&lt;",C94))))</f>
        <v>&gt;=1/1/24</v>
      </c>
      <c r="F94" s="75">
        <v>2023</v>
      </c>
      <c r="G94" s="76" t="s">
        <v>396</v>
      </c>
      <c r="H94" s="77"/>
      <c r="I94" s="77"/>
      <c r="J94" s="78"/>
      <c r="K94" s="128" t="e">
        <f t="shared" ref="K94:K107" si="216">COUNTIFS(#REF!,$B94,#REF!,$C94,#REF!,$H$91)</f>
        <v>#REF!</v>
      </c>
      <c r="L94" s="76" t="e">
        <f>SUMIFS(#REF!,#REF!,$B94,#REF!,$C94,#REF!,$H$91)</f>
        <v>#REF!</v>
      </c>
      <c r="M94" s="81" t="e">
        <f t="shared" ref="M94:M107" si="217">SUMIFS(#REF!,#REF!,$B94,#REF!,$C94,#REF!,$H$91)</f>
        <v>#REF!</v>
      </c>
      <c r="N94" s="129" t="e">
        <f t="shared" ref="N94:N107" si="218">COUNTIFS(#REF!,$B5,#REF!,$C5,#REF!,$H$91)</f>
        <v>#REF!</v>
      </c>
      <c r="O94" s="76" t="e">
        <f t="shared" ref="O94:O107" si="219">COUNTIFS(#REF!,$B54,#REF!,$C54,#REF!,$H$91)</f>
        <v>#REF!</v>
      </c>
      <c r="P94" s="76" t="e">
        <f t="shared" ref="P94:P106" ca="1" si="220">IF(MONTH(TODAY())&gt;=$D5,COUNTIFS(#REF!,$C54,#REF!,$H$91)-COUNTIFS(#REF!,$C54,#REF!,$H$91),"")</f>
        <v>#REF!</v>
      </c>
      <c r="Q94" s="76">
        <v>0</v>
      </c>
      <c r="R94" s="82" t="e">
        <f t="shared" ref="R94:R106" ca="1" si="221">IF(MONTH(TODAY())&gt;=$D5,COUNTIFS(#REF!,$C54,#REF!,$H$91)-COUNTIFS(#REF!,$C54,#REF!,$H$91),"")</f>
        <v>#REF!</v>
      </c>
      <c r="S94" s="79" t="e">
        <f t="shared" ref="S94:T94" si="222">COUNTIFS(#REF!,$B54,#REF!,$C54,#REF!,$H$91)</f>
        <v>#REF!</v>
      </c>
      <c r="T94" s="76" t="e">
        <f t="shared" si="222"/>
        <v>#REF!</v>
      </c>
      <c r="U94" s="76" t="e">
        <f t="shared" ref="U94:U106" ca="1" si="223">IF(MONTH(TODAY())&gt;=$D5,COUNTIFS(#REF!,$C54,#REF!,$H$91)-COUNTIFS(#REF!,$C54,#REF!,$H$91),"")</f>
        <v>#REF!</v>
      </c>
      <c r="V94" s="76">
        <v>0</v>
      </c>
      <c r="W94" s="82" t="e">
        <f t="shared" ref="W94:W106" ca="1" si="224">IF(MONTH(TODAY())&gt;=$D5,COUNTIFS(#REF!,$C54,#REF!,$H$91)-COUNTIFS(#REF!,$C54,#REF!,$H$91),"")</f>
        <v>#REF!</v>
      </c>
      <c r="X94" s="83"/>
      <c r="Y94" s="77"/>
      <c r="Z94" s="84"/>
      <c r="AA94" s="85" t="e">
        <f t="shared" ref="AA94:AA107" si="225">COUNTIFS(#REF!,$B94,#REF!,$C94,#REF!,$H$91)</f>
        <v>#REF!</v>
      </c>
      <c r="AB94" s="79" t="e">
        <f>SUMIFS(#REF!,#REF!,$B94,#REF!,$C94,#REF!,$H$91)</f>
        <v>#REF!</v>
      </c>
      <c r="AC94" s="81" t="e">
        <f t="shared" ref="AC94:AC107" si="226">SUMIFS(#REF!,#REF!,$B94,#REF!,$C94,#REF!,$H$91)</f>
        <v>#REF!</v>
      </c>
      <c r="AD94" s="79" t="e">
        <f t="shared" ref="AD94:AD107" si="227">COUNTIFS(#REF!,$B94,#REF!,$C94,#REF!,$H$91)</f>
        <v>#REF!</v>
      </c>
      <c r="AE94" s="76" t="e">
        <f>SUMIFS(#REF!,#REF!,$B94,#REF!,$C94,#REF!,$H$91)</f>
        <v>#REF!</v>
      </c>
      <c r="AF94" s="94" t="e">
        <f t="shared" ref="AF94:AF107" si="228">SUMIFS(#REF!,#REF!,$B94,#REF!,$C94,#REF!,$H$91)</f>
        <v>#REF!</v>
      </c>
      <c r="AG94" s="177"/>
      <c r="AH94" s="77"/>
      <c r="AI94" s="77"/>
      <c r="AJ94" s="77"/>
      <c r="AK94" s="177"/>
      <c r="AL94" s="77"/>
      <c r="AM94" s="77"/>
      <c r="AN94" s="77"/>
      <c r="AO94" s="177"/>
      <c r="AP94" s="76" t="e">
        <f t="shared" ref="AP94:AR94" ca="1" si="229">IF(MONTH(TODAY())&gt;=$D5,AD94-AA94,"")</f>
        <v>#REF!</v>
      </c>
      <c r="AQ94" s="76" t="e">
        <f t="shared" ca="1" si="229"/>
        <v>#REF!</v>
      </c>
      <c r="AR94" s="76" t="e">
        <f t="shared" ca="1" si="229"/>
        <v>#REF!</v>
      </c>
    </row>
    <row r="95" spans="2:44" ht="12.75">
      <c r="B95" s="1" t="s">
        <v>692</v>
      </c>
      <c r="C95" s="1" t="s">
        <v>693</v>
      </c>
      <c r="D95" s="60">
        <v>1</v>
      </c>
      <c r="E95" s="60" t="str">
        <f t="shared" si="215"/>
        <v>&gt;=2/1/24</v>
      </c>
      <c r="F95" s="87" t="s">
        <v>694</v>
      </c>
      <c r="G95" s="76" t="s">
        <v>396</v>
      </c>
      <c r="H95" s="143">
        <v>1</v>
      </c>
      <c r="I95" s="131">
        <f t="shared" ref="I95:I103" si="230">$I$108/$H$108*H95</f>
        <v>49.661258447617378</v>
      </c>
      <c r="J95" s="93">
        <f t="shared" ref="J95:J106" si="231">$J$108/$H$108*H95</f>
        <v>66666.666666666672</v>
      </c>
      <c r="K95" s="128" t="e">
        <f t="shared" si="216"/>
        <v>#REF!</v>
      </c>
      <c r="L95" s="76" t="e">
        <f>SUMIFS(#REF!,#REF!,$B95,#REF!,$C95,#REF!,$H$91)</f>
        <v>#REF!</v>
      </c>
      <c r="M95" s="81" t="e">
        <f t="shared" si="217"/>
        <v>#REF!</v>
      </c>
      <c r="N95" s="129" t="e">
        <f t="shared" si="218"/>
        <v>#REF!</v>
      </c>
      <c r="O95" s="76" t="e">
        <f t="shared" si="219"/>
        <v>#REF!</v>
      </c>
      <c r="P95" s="76" t="e">
        <f t="shared" ca="1" si="220"/>
        <v>#REF!</v>
      </c>
      <c r="Q95" s="76">
        <v>0</v>
      </c>
      <c r="R95" s="82" t="e">
        <f t="shared" ca="1" si="221"/>
        <v>#REF!</v>
      </c>
      <c r="S95" s="79" t="e">
        <f t="shared" ref="S95:T95" si="232">COUNTIFS(#REF!,$B55,#REF!,$C55,#REF!,$H$91)</f>
        <v>#REF!</v>
      </c>
      <c r="T95" s="76" t="e">
        <f t="shared" si="232"/>
        <v>#REF!</v>
      </c>
      <c r="U95" s="76" t="e">
        <f t="shared" ca="1" si="223"/>
        <v>#REF!</v>
      </c>
      <c r="V95" s="76">
        <v>0</v>
      </c>
      <c r="W95" s="82" t="e">
        <f t="shared" ca="1" si="224"/>
        <v>#REF!</v>
      </c>
      <c r="X95" s="144">
        <v>0</v>
      </c>
      <c r="Y95" s="92">
        <f>X95*47.6</f>
        <v>0</v>
      </c>
      <c r="Z95" s="93">
        <f t="shared" ref="Z95:Z96" si="233">$Z$68/$X$68*X95</f>
        <v>0</v>
      </c>
      <c r="AA95" s="85" t="e">
        <f t="shared" si="225"/>
        <v>#REF!</v>
      </c>
      <c r="AB95" s="79" t="e">
        <f>SUMIFS(#REF!,#REF!,$B95,#REF!,$C95,#REF!,$H$91)</f>
        <v>#REF!</v>
      </c>
      <c r="AC95" s="81" t="e">
        <f t="shared" si="226"/>
        <v>#REF!</v>
      </c>
      <c r="AD95" s="79" t="e">
        <f t="shared" si="227"/>
        <v>#REF!</v>
      </c>
      <c r="AE95" s="76" t="e">
        <f>SUMIFS(#REF!,#REF!,$B95,#REF!,$C95,#REF!,$H$91)</f>
        <v>#REF!</v>
      </c>
      <c r="AF95" s="94" t="e">
        <f t="shared" si="228"/>
        <v>#REF!</v>
      </c>
      <c r="AG95" s="177"/>
      <c r="AH95" s="76" t="e">
        <f t="shared" ref="AH95:AJ95" ca="1" si="234">IF(MONTH(TODAY())&gt;=$D6,K95-H95,"")</f>
        <v>#REF!</v>
      </c>
      <c r="AI95" s="76" t="e">
        <f t="shared" ca="1" si="234"/>
        <v>#REF!</v>
      </c>
      <c r="AJ95" s="76" t="e">
        <f t="shared" ca="1" si="234"/>
        <v>#REF!</v>
      </c>
      <c r="AK95" s="177"/>
      <c r="AL95" s="76" t="e">
        <f t="shared" ref="AL95:AN95" ca="1" si="235">IF(MONTH(TODAY())&gt;=$D6,AD95-X95,"")</f>
        <v>#REF!</v>
      </c>
      <c r="AM95" s="76" t="e">
        <f t="shared" ca="1" si="235"/>
        <v>#REF!</v>
      </c>
      <c r="AN95" s="76" t="e">
        <f t="shared" ca="1" si="235"/>
        <v>#REF!</v>
      </c>
      <c r="AO95" s="177"/>
      <c r="AP95" s="76" t="e">
        <f t="shared" ref="AP95:AR95" ca="1" si="236">IF(MONTH(TODAY())&gt;=$D6,AD95-AA95,"")</f>
        <v>#REF!</v>
      </c>
      <c r="AQ95" s="76" t="e">
        <f t="shared" ca="1" si="236"/>
        <v>#REF!</v>
      </c>
      <c r="AR95" s="76" t="e">
        <f t="shared" ca="1" si="236"/>
        <v>#REF!</v>
      </c>
    </row>
    <row r="96" spans="2:44" ht="12.75">
      <c r="B96" s="1" t="s">
        <v>695</v>
      </c>
      <c r="C96" s="1" t="s">
        <v>696</v>
      </c>
      <c r="D96" s="60">
        <v>2</v>
      </c>
      <c r="E96" s="60" t="str">
        <f t="shared" si="215"/>
        <v>&gt;=3/1/24</v>
      </c>
      <c r="F96" s="87" t="s">
        <v>697</v>
      </c>
      <c r="G96" s="76" t="s">
        <v>396</v>
      </c>
      <c r="H96" s="143">
        <v>1</v>
      </c>
      <c r="I96" s="131">
        <f t="shared" si="230"/>
        <v>49.661258447617378</v>
      </c>
      <c r="J96" s="93">
        <f t="shared" si="231"/>
        <v>66666.666666666672</v>
      </c>
      <c r="K96" s="128" t="e">
        <f t="shared" si="216"/>
        <v>#REF!</v>
      </c>
      <c r="L96" s="76" t="e">
        <f>SUMIFS(#REF!,#REF!,$B96,#REF!,$C96,#REF!,$H$91)</f>
        <v>#REF!</v>
      </c>
      <c r="M96" s="81" t="e">
        <f t="shared" si="217"/>
        <v>#REF!</v>
      </c>
      <c r="N96" s="129" t="e">
        <f t="shared" si="218"/>
        <v>#REF!</v>
      </c>
      <c r="O96" s="76" t="e">
        <f t="shared" si="219"/>
        <v>#REF!</v>
      </c>
      <c r="P96" s="76" t="e">
        <f t="shared" ca="1" si="220"/>
        <v>#REF!</v>
      </c>
      <c r="Q96" s="76" t="s">
        <v>698</v>
      </c>
      <c r="R96" s="82" t="e">
        <f t="shared" ca="1" si="221"/>
        <v>#REF!</v>
      </c>
      <c r="S96" s="79" t="e">
        <f t="shared" ref="S96:T96" si="237">COUNTIFS(#REF!,$B56,#REF!,$C56,#REF!,$H$91)</f>
        <v>#REF!</v>
      </c>
      <c r="T96" s="76" t="e">
        <f t="shared" si="237"/>
        <v>#REF!</v>
      </c>
      <c r="U96" s="76" t="e">
        <f t="shared" ca="1" si="223"/>
        <v>#REF!</v>
      </c>
      <c r="V96" s="76" t="s">
        <v>698</v>
      </c>
      <c r="W96" s="82" t="e">
        <f t="shared" ca="1" si="224"/>
        <v>#REF!</v>
      </c>
      <c r="X96" s="144">
        <v>0</v>
      </c>
      <c r="Y96" s="92">
        <f t="shared" ref="Y96:Y106" si="238">X96*428/$X$108</f>
        <v>0</v>
      </c>
      <c r="Z96" s="93">
        <f t="shared" si="233"/>
        <v>0</v>
      </c>
      <c r="AA96" s="85" t="e">
        <f t="shared" si="225"/>
        <v>#REF!</v>
      </c>
      <c r="AB96" s="79" t="e">
        <f>SUMIFS(#REF!,#REF!,$B96,#REF!,$C96,#REF!,$H$91)</f>
        <v>#REF!</v>
      </c>
      <c r="AC96" s="81" t="e">
        <f t="shared" si="226"/>
        <v>#REF!</v>
      </c>
      <c r="AD96" s="79" t="e">
        <f t="shared" si="227"/>
        <v>#REF!</v>
      </c>
      <c r="AE96" s="76" t="e">
        <f>SUMIFS(#REF!,#REF!,$B96,#REF!,$C96,#REF!,$H$91)</f>
        <v>#REF!</v>
      </c>
      <c r="AF96" s="94" t="e">
        <f t="shared" si="228"/>
        <v>#REF!</v>
      </c>
      <c r="AG96" s="177"/>
      <c r="AH96" s="76" t="e">
        <f t="shared" ref="AH96:AJ96" ca="1" si="239">IF(MONTH(TODAY())&gt;=$D7,K96-H96,"")</f>
        <v>#REF!</v>
      </c>
      <c r="AI96" s="76" t="e">
        <f t="shared" ca="1" si="239"/>
        <v>#REF!</v>
      </c>
      <c r="AJ96" s="76" t="e">
        <f t="shared" ca="1" si="239"/>
        <v>#REF!</v>
      </c>
      <c r="AK96" s="177"/>
      <c r="AL96" s="76" t="e">
        <f t="shared" ref="AL96:AN96" ca="1" si="240">IF(MONTH(TODAY())&gt;=$D7,AD96-X96,"")</f>
        <v>#REF!</v>
      </c>
      <c r="AM96" s="76" t="e">
        <f t="shared" ca="1" si="240"/>
        <v>#REF!</v>
      </c>
      <c r="AN96" s="76" t="e">
        <f t="shared" ca="1" si="240"/>
        <v>#REF!</v>
      </c>
      <c r="AO96" s="177"/>
      <c r="AP96" s="76" t="e">
        <f t="shared" ref="AP96:AR96" ca="1" si="241">IF(MONTH(TODAY())&gt;=$D7,AD96-AA96,"")</f>
        <v>#REF!</v>
      </c>
      <c r="AQ96" s="76" t="e">
        <f t="shared" ca="1" si="241"/>
        <v>#REF!</v>
      </c>
      <c r="AR96" s="76" t="e">
        <f t="shared" ca="1" si="241"/>
        <v>#REF!</v>
      </c>
    </row>
    <row r="97" spans="2:44" ht="12.75">
      <c r="B97" s="1" t="s">
        <v>699</v>
      </c>
      <c r="C97" s="1" t="s">
        <v>700</v>
      </c>
      <c r="D97" s="60">
        <v>3</v>
      </c>
      <c r="E97" s="60" t="str">
        <f t="shared" si="215"/>
        <v>&gt;=4/1/24</v>
      </c>
      <c r="F97" s="87" t="s">
        <v>701</v>
      </c>
      <c r="G97" s="76" t="s">
        <v>396</v>
      </c>
      <c r="H97" s="143">
        <v>1</v>
      </c>
      <c r="I97" s="131">
        <f t="shared" si="230"/>
        <v>49.661258447617378</v>
      </c>
      <c r="J97" s="93">
        <f t="shared" si="231"/>
        <v>66666.666666666672</v>
      </c>
      <c r="K97" s="128" t="e">
        <f t="shared" si="216"/>
        <v>#REF!</v>
      </c>
      <c r="L97" s="76" t="e">
        <f>SUMIFS(#REF!,#REF!,$B97,#REF!,$C97,#REF!,$H$91)</f>
        <v>#REF!</v>
      </c>
      <c r="M97" s="81" t="e">
        <f t="shared" si="217"/>
        <v>#REF!</v>
      </c>
      <c r="N97" s="129" t="e">
        <f t="shared" si="218"/>
        <v>#REF!</v>
      </c>
      <c r="O97" s="76" t="e">
        <f t="shared" si="219"/>
        <v>#REF!</v>
      </c>
      <c r="P97" s="76" t="e">
        <f t="shared" ca="1" si="220"/>
        <v>#REF!</v>
      </c>
      <c r="Q97" s="76" t="s">
        <v>698</v>
      </c>
      <c r="R97" s="82" t="e">
        <f t="shared" ca="1" si="221"/>
        <v>#REF!</v>
      </c>
      <c r="S97" s="79" t="e">
        <f t="shared" ref="S97:T97" si="242">COUNTIFS(#REF!,$B57,#REF!,$C57,#REF!,$H$91)</f>
        <v>#REF!</v>
      </c>
      <c r="T97" s="76" t="e">
        <f t="shared" si="242"/>
        <v>#REF!</v>
      </c>
      <c r="U97" s="76" t="e">
        <f t="shared" ca="1" si="223"/>
        <v>#REF!</v>
      </c>
      <c r="V97" s="76" t="s">
        <v>698</v>
      </c>
      <c r="W97" s="82" t="e">
        <f t="shared" ca="1" si="224"/>
        <v>#REF!</v>
      </c>
      <c r="X97" s="144">
        <v>1</v>
      </c>
      <c r="Y97" s="92">
        <f t="shared" si="238"/>
        <v>53.5</v>
      </c>
      <c r="Z97" s="93">
        <f t="shared" ref="Z97:Z104" si="243">X97*$Z$108/$X$108</f>
        <v>71814.064285714237</v>
      </c>
      <c r="AA97" s="85" t="e">
        <f t="shared" si="225"/>
        <v>#REF!</v>
      </c>
      <c r="AB97" s="79" t="e">
        <f>SUMIFS(#REF!,#REF!,$B97,#REF!,$C97,#REF!,$H$91)</f>
        <v>#REF!</v>
      </c>
      <c r="AC97" s="81" t="e">
        <f t="shared" si="226"/>
        <v>#REF!</v>
      </c>
      <c r="AD97" s="79" t="e">
        <f t="shared" si="227"/>
        <v>#REF!</v>
      </c>
      <c r="AE97" s="76" t="e">
        <f>SUMIFS(#REF!,#REF!,$B97,#REF!,$C97,#REF!,$H$91)</f>
        <v>#REF!</v>
      </c>
      <c r="AF97" s="94" t="e">
        <f t="shared" si="228"/>
        <v>#REF!</v>
      </c>
      <c r="AG97" s="177"/>
      <c r="AH97" s="76" t="e">
        <f t="shared" ref="AH97:AJ97" ca="1" si="244">IF(MONTH(TODAY())&gt;=$D8,K97-H97,"")</f>
        <v>#REF!</v>
      </c>
      <c r="AI97" s="76" t="e">
        <f t="shared" ca="1" si="244"/>
        <v>#REF!</v>
      </c>
      <c r="AJ97" s="76" t="e">
        <f t="shared" ca="1" si="244"/>
        <v>#REF!</v>
      </c>
      <c r="AK97" s="177"/>
      <c r="AL97" s="76" t="e">
        <f t="shared" ref="AL97:AN97" ca="1" si="245">IF(MONTH(TODAY())&gt;=$D8,AD97-X97,"")</f>
        <v>#REF!</v>
      </c>
      <c r="AM97" s="76" t="e">
        <f t="shared" ca="1" si="245"/>
        <v>#REF!</v>
      </c>
      <c r="AN97" s="76" t="e">
        <f t="shared" ca="1" si="245"/>
        <v>#REF!</v>
      </c>
      <c r="AO97" s="177"/>
      <c r="AP97" s="76" t="e">
        <f t="shared" ref="AP97:AR97" ca="1" si="246">IF(MONTH(TODAY())&gt;=$D8,AD97-AA97,"")</f>
        <v>#REF!</v>
      </c>
      <c r="AQ97" s="76" t="e">
        <f t="shared" ca="1" si="246"/>
        <v>#REF!</v>
      </c>
      <c r="AR97" s="76" t="e">
        <f t="shared" ca="1" si="246"/>
        <v>#REF!</v>
      </c>
    </row>
    <row r="98" spans="2:44" ht="12.75">
      <c r="B98" s="1" t="s">
        <v>702</v>
      </c>
      <c r="C98" s="1" t="s">
        <v>703</v>
      </c>
      <c r="D98" s="60">
        <v>4</v>
      </c>
      <c r="E98" s="60" t="str">
        <f t="shared" si="215"/>
        <v>&gt;=5/1/24</v>
      </c>
      <c r="F98" s="87" t="s">
        <v>704</v>
      </c>
      <c r="G98" s="76" t="s">
        <v>396</v>
      </c>
      <c r="H98" s="143">
        <v>1</v>
      </c>
      <c r="I98" s="131">
        <f t="shared" si="230"/>
        <v>49.661258447617378</v>
      </c>
      <c r="J98" s="93">
        <f t="shared" si="231"/>
        <v>66666.666666666672</v>
      </c>
      <c r="K98" s="128" t="e">
        <f t="shared" si="216"/>
        <v>#REF!</v>
      </c>
      <c r="L98" s="76" t="e">
        <f>SUMIFS(#REF!,#REF!,$B98,#REF!,$C98,#REF!,$H$91)</f>
        <v>#REF!</v>
      </c>
      <c r="M98" s="81" t="e">
        <f t="shared" si="217"/>
        <v>#REF!</v>
      </c>
      <c r="N98" s="129" t="e">
        <f t="shared" si="218"/>
        <v>#REF!</v>
      </c>
      <c r="O98" s="76" t="e">
        <f t="shared" si="219"/>
        <v>#REF!</v>
      </c>
      <c r="P98" s="76" t="str">
        <f t="shared" ca="1" si="220"/>
        <v/>
      </c>
      <c r="Q98" s="76" t="s">
        <v>698</v>
      </c>
      <c r="R98" s="82" t="str">
        <f t="shared" ca="1" si="221"/>
        <v/>
      </c>
      <c r="S98" s="79" t="e">
        <f t="shared" ref="S98:T98" si="247">COUNTIFS(#REF!,$B58,#REF!,$C58,#REF!,$H$91)</f>
        <v>#REF!</v>
      </c>
      <c r="T98" s="76" t="e">
        <f t="shared" si="247"/>
        <v>#REF!</v>
      </c>
      <c r="U98" s="76" t="str">
        <f t="shared" ca="1" si="223"/>
        <v/>
      </c>
      <c r="V98" s="76" t="s">
        <v>698</v>
      </c>
      <c r="W98" s="82" t="str">
        <f t="shared" ca="1" si="224"/>
        <v/>
      </c>
      <c r="X98" s="144">
        <v>1</v>
      </c>
      <c r="Y98" s="92">
        <f t="shared" si="238"/>
        <v>53.5</v>
      </c>
      <c r="Z98" s="93">
        <f t="shared" si="243"/>
        <v>71814.064285714237</v>
      </c>
      <c r="AA98" s="85" t="e">
        <f t="shared" si="225"/>
        <v>#REF!</v>
      </c>
      <c r="AB98" s="79" t="e">
        <f>SUMIFS(#REF!,#REF!,$B98,#REF!,$C98,#REF!,$H$91)</f>
        <v>#REF!</v>
      </c>
      <c r="AC98" s="81" t="e">
        <f t="shared" si="226"/>
        <v>#REF!</v>
      </c>
      <c r="AD98" s="79" t="e">
        <f t="shared" si="227"/>
        <v>#REF!</v>
      </c>
      <c r="AE98" s="76" t="e">
        <f>SUMIFS(#REF!,#REF!,$B98,#REF!,$C98,#REF!,$H$91)</f>
        <v>#REF!</v>
      </c>
      <c r="AF98" s="94" t="e">
        <f t="shared" si="228"/>
        <v>#REF!</v>
      </c>
      <c r="AG98" s="177"/>
      <c r="AH98" s="76" t="str">
        <f t="shared" ref="AH98:AJ98" ca="1" si="248">IF(MONTH(TODAY())&gt;=$D9,K98-H98,"")</f>
        <v/>
      </c>
      <c r="AI98" s="76" t="str">
        <f t="shared" ca="1" si="248"/>
        <v/>
      </c>
      <c r="AJ98" s="76" t="str">
        <f t="shared" ca="1" si="248"/>
        <v/>
      </c>
      <c r="AK98" s="177"/>
      <c r="AL98" s="76" t="str">
        <f t="shared" ref="AL98:AN98" ca="1" si="249">IF(MONTH(TODAY())&gt;=$D9,AD98-X98,"")</f>
        <v/>
      </c>
      <c r="AM98" s="76" t="str">
        <f t="shared" ca="1" si="249"/>
        <v/>
      </c>
      <c r="AN98" s="76" t="str">
        <f t="shared" ca="1" si="249"/>
        <v/>
      </c>
      <c r="AO98" s="177"/>
      <c r="AP98" s="76" t="str">
        <f t="shared" ref="AP98:AR98" ca="1" si="250">IF(MONTH(TODAY())&gt;=$D9,AD98-AA98,"")</f>
        <v/>
      </c>
      <c r="AQ98" s="76" t="str">
        <f t="shared" ca="1" si="250"/>
        <v/>
      </c>
      <c r="AR98" s="76" t="str">
        <f t="shared" ca="1" si="250"/>
        <v/>
      </c>
    </row>
    <row r="99" spans="2:44" ht="12.75">
      <c r="B99" s="1" t="s">
        <v>705</v>
      </c>
      <c r="C99" s="1" t="s">
        <v>706</v>
      </c>
      <c r="D99" s="60">
        <v>5</v>
      </c>
      <c r="E99" s="60" t="str">
        <f t="shared" si="215"/>
        <v>&gt;=6/1/24</v>
      </c>
      <c r="F99" s="87" t="s">
        <v>707</v>
      </c>
      <c r="G99" s="76" t="s">
        <v>396</v>
      </c>
      <c r="H99" s="143">
        <v>1</v>
      </c>
      <c r="I99" s="131">
        <f t="shared" si="230"/>
        <v>49.661258447617378</v>
      </c>
      <c r="J99" s="93">
        <f t="shared" si="231"/>
        <v>66666.666666666672</v>
      </c>
      <c r="K99" s="128" t="e">
        <f t="shared" si="216"/>
        <v>#REF!</v>
      </c>
      <c r="L99" s="76" t="e">
        <f>SUMIFS(#REF!,#REF!,$B99,#REF!,$C99,#REF!,$H$91)</f>
        <v>#REF!</v>
      </c>
      <c r="M99" s="81" t="e">
        <f t="shared" si="217"/>
        <v>#REF!</v>
      </c>
      <c r="N99" s="129" t="e">
        <f t="shared" si="218"/>
        <v>#REF!</v>
      </c>
      <c r="O99" s="76" t="e">
        <f t="shared" si="219"/>
        <v>#REF!</v>
      </c>
      <c r="P99" s="76" t="str">
        <f t="shared" ca="1" si="220"/>
        <v/>
      </c>
      <c r="Q99" s="76" t="s">
        <v>698</v>
      </c>
      <c r="R99" s="82" t="str">
        <f t="shared" ca="1" si="221"/>
        <v/>
      </c>
      <c r="S99" s="79" t="e">
        <f t="shared" ref="S99:T99" si="251">COUNTIFS(#REF!,$B59,#REF!,$C59,#REF!,$H$91)</f>
        <v>#REF!</v>
      </c>
      <c r="T99" s="76" t="e">
        <f t="shared" si="251"/>
        <v>#REF!</v>
      </c>
      <c r="U99" s="76" t="str">
        <f t="shared" ca="1" si="223"/>
        <v/>
      </c>
      <c r="V99" s="76" t="s">
        <v>698</v>
      </c>
      <c r="W99" s="82" t="str">
        <f t="shared" ca="1" si="224"/>
        <v/>
      </c>
      <c r="X99" s="144">
        <v>1</v>
      </c>
      <c r="Y99" s="92">
        <f t="shared" si="238"/>
        <v>53.5</v>
      </c>
      <c r="Z99" s="93">
        <f t="shared" si="243"/>
        <v>71814.064285714237</v>
      </c>
      <c r="AA99" s="85" t="e">
        <f t="shared" si="225"/>
        <v>#REF!</v>
      </c>
      <c r="AB99" s="79" t="e">
        <f>SUMIFS(#REF!,#REF!,$B99,#REF!,$C99,#REF!,$H$91)</f>
        <v>#REF!</v>
      </c>
      <c r="AC99" s="81" t="e">
        <f t="shared" si="226"/>
        <v>#REF!</v>
      </c>
      <c r="AD99" s="79" t="e">
        <f t="shared" si="227"/>
        <v>#REF!</v>
      </c>
      <c r="AE99" s="76" t="e">
        <f>SUMIFS(#REF!,#REF!,$B99,#REF!,$C99,#REF!,$H$91)</f>
        <v>#REF!</v>
      </c>
      <c r="AF99" s="94" t="e">
        <f t="shared" si="228"/>
        <v>#REF!</v>
      </c>
      <c r="AG99" s="177"/>
      <c r="AH99" s="76" t="str">
        <f t="shared" ref="AH99:AJ99" ca="1" si="252">IF(MONTH(TODAY())&gt;=$D10,K99-H99,"")</f>
        <v/>
      </c>
      <c r="AI99" s="76" t="str">
        <f t="shared" ca="1" si="252"/>
        <v/>
      </c>
      <c r="AJ99" s="76" t="str">
        <f t="shared" ca="1" si="252"/>
        <v/>
      </c>
      <c r="AK99" s="177"/>
      <c r="AL99" s="76" t="str">
        <f t="shared" ref="AL99:AN99" ca="1" si="253">IF(MONTH(TODAY())&gt;=$D10,AD99-X99,"")</f>
        <v/>
      </c>
      <c r="AM99" s="76" t="str">
        <f t="shared" ca="1" si="253"/>
        <v/>
      </c>
      <c r="AN99" s="76" t="str">
        <f t="shared" ca="1" si="253"/>
        <v/>
      </c>
      <c r="AO99" s="177"/>
      <c r="AP99" s="76" t="str">
        <f t="shared" ref="AP99:AR99" ca="1" si="254">IF(MONTH(TODAY())&gt;=$D10,AD99-AA99,"")</f>
        <v/>
      </c>
      <c r="AQ99" s="76" t="str">
        <f t="shared" ca="1" si="254"/>
        <v/>
      </c>
      <c r="AR99" s="76" t="str">
        <f t="shared" ca="1" si="254"/>
        <v/>
      </c>
    </row>
    <row r="100" spans="2:44" ht="12.75">
      <c r="B100" s="1" t="s">
        <v>708</v>
      </c>
      <c r="C100" s="1" t="s">
        <v>709</v>
      </c>
      <c r="D100" s="60">
        <v>6</v>
      </c>
      <c r="E100" s="60" t="str">
        <f t="shared" si="215"/>
        <v>&gt;=7/1/24</v>
      </c>
      <c r="F100" s="87" t="s">
        <v>710</v>
      </c>
      <c r="G100" s="76" t="s">
        <v>396</v>
      </c>
      <c r="H100" s="143">
        <v>1</v>
      </c>
      <c r="I100" s="131">
        <f t="shared" si="230"/>
        <v>49.661258447617378</v>
      </c>
      <c r="J100" s="93">
        <f t="shared" si="231"/>
        <v>66666.666666666672</v>
      </c>
      <c r="K100" s="128" t="e">
        <f t="shared" si="216"/>
        <v>#REF!</v>
      </c>
      <c r="L100" s="76" t="e">
        <f>SUMIFS(#REF!,#REF!,$B100,#REF!,$C100,#REF!,$H$91)</f>
        <v>#REF!</v>
      </c>
      <c r="M100" s="81" t="e">
        <f t="shared" si="217"/>
        <v>#REF!</v>
      </c>
      <c r="N100" s="129" t="e">
        <f t="shared" si="218"/>
        <v>#REF!</v>
      </c>
      <c r="O100" s="76" t="e">
        <f t="shared" si="219"/>
        <v>#REF!</v>
      </c>
      <c r="P100" s="76" t="str">
        <f t="shared" ca="1" si="220"/>
        <v/>
      </c>
      <c r="Q100" s="76" t="s">
        <v>698</v>
      </c>
      <c r="R100" s="82" t="str">
        <f t="shared" ca="1" si="221"/>
        <v/>
      </c>
      <c r="S100" s="79" t="e">
        <f t="shared" ref="S100:T100" si="255">COUNTIFS(#REF!,$B60,#REF!,$C60,#REF!,$H$91)</f>
        <v>#REF!</v>
      </c>
      <c r="T100" s="76" t="e">
        <f t="shared" si="255"/>
        <v>#REF!</v>
      </c>
      <c r="U100" s="76" t="str">
        <f t="shared" ca="1" si="223"/>
        <v/>
      </c>
      <c r="V100" s="76" t="s">
        <v>698</v>
      </c>
      <c r="W100" s="82" t="str">
        <f t="shared" ca="1" si="224"/>
        <v/>
      </c>
      <c r="X100" s="144">
        <v>1</v>
      </c>
      <c r="Y100" s="92">
        <f t="shared" si="238"/>
        <v>53.5</v>
      </c>
      <c r="Z100" s="93">
        <f t="shared" si="243"/>
        <v>71814.064285714237</v>
      </c>
      <c r="AA100" s="85" t="e">
        <f t="shared" si="225"/>
        <v>#REF!</v>
      </c>
      <c r="AB100" s="79" t="e">
        <f>SUMIFS(#REF!,#REF!,$B100,#REF!,$C100,#REF!,$H$91)</f>
        <v>#REF!</v>
      </c>
      <c r="AC100" s="81" t="e">
        <f t="shared" si="226"/>
        <v>#REF!</v>
      </c>
      <c r="AD100" s="79" t="e">
        <f t="shared" si="227"/>
        <v>#REF!</v>
      </c>
      <c r="AE100" s="76" t="e">
        <f>SUMIFS(#REF!,#REF!,$B100,#REF!,$C100,#REF!,$H$91)</f>
        <v>#REF!</v>
      </c>
      <c r="AF100" s="94" t="e">
        <f t="shared" si="228"/>
        <v>#REF!</v>
      </c>
      <c r="AG100" s="177"/>
      <c r="AH100" s="76" t="str">
        <f t="shared" ref="AH100:AJ100" ca="1" si="256">IF(MONTH(TODAY())&gt;=$D11,K100-H100,"")</f>
        <v/>
      </c>
      <c r="AI100" s="76" t="str">
        <f t="shared" ca="1" si="256"/>
        <v/>
      </c>
      <c r="AJ100" s="76" t="str">
        <f t="shared" ca="1" si="256"/>
        <v/>
      </c>
      <c r="AK100" s="177"/>
      <c r="AL100" s="76" t="str">
        <f t="shared" ref="AL100:AN100" ca="1" si="257">IF(MONTH(TODAY())&gt;=$D11,AD100-X100,"")</f>
        <v/>
      </c>
      <c r="AM100" s="76" t="str">
        <f t="shared" ca="1" si="257"/>
        <v/>
      </c>
      <c r="AN100" s="76" t="str">
        <f t="shared" ca="1" si="257"/>
        <v/>
      </c>
      <c r="AO100" s="177"/>
      <c r="AP100" s="76" t="str">
        <f t="shared" ref="AP100:AR100" ca="1" si="258">IF(MONTH(TODAY())&gt;=$D11,AD100-AA100,"")</f>
        <v/>
      </c>
      <c r="AQ100" s="76" t="str">
        <f t="shared" ca="1" si="258"/>
        <v/>
      </c>
      <c r="AR100" s="76" t="str">
        <f t="shared" ca="1" si="258"/>
        <v/>
      </c>
    </row>
    <row r="101" spans="2:44" ht="12.75">
      <c r="B101" s="1" t="s">
        <v>711</v>
      </c>
      <c r="C101" s="1" t="s">
        <v>712</v>
      </c>
      <c r="D101" s="60">
        <v>7</v>
      </c>
      <c r="E101" s="60" t="str">
        <f t="shared" si="215"/>
        <v>&gt;=8/1/24</v>
      </c>
      <c r="F101" s="87" t="s">
        <v>713</v>
      </c>
      <c r="G101" s="76" t="s">
        <v>396</v>
      </c>
      <c r="H101" s="143">
        <v>1</v>
      </c>
      <c r="I101" s="131">
        <f t="shared" si="230"/>
        <v>49.661258447617378</v>
      </c>
      <c r="J101" s="93">
        <f t="shared" si="231"/>
        <v>66666.666666666672</v>
      </c>
      <c r="K101" s="128" t="e">
        <f t="shared" si="216"/>
        <v>#REF!</v>
      </c>
      <c r="L101" s="76" t="e">
        <f>SUMIFS(#REF!,#REF!,$B101,#REF!,$C101,#REF!,$H$91)</f>
        <v>#REF!</v>
      </c>
      <c r="M101" s="81" t="e">
        <f t="shared" si="217"/>
        <v>#REF!</v>
      </c>
      <c r="N101" s="129" t="e">
        <f t="shared" si="218"/>
        <v>#REF!</v>
      </c>
      <c r="O101" s="76" t="e">
        <f t="shared" si="219"/>
        <v>#REF!</v>
      </c>
      <c r="P101" s="76" t="str">
        <f t="shared" ca="1" si="220"/>
        <v/>
      </c>
      <c r="Q101" s="76" t="s">
        <v>698</v>
      </c>
      <c r="R101" s="82" t="str">
        <f t="shared" ca="1" si="221"/>
        <v/>
      </c>
      <c r="S101" s="79" t="e">
        <f t="shared" ref="S101:T101" si="259">COUNTIFS(#REF!,$B61,#REF!,$C61,#REF!,$H$91)</f>
        <v>#REF!</v>
      </c>
      <c r="T101" s="76" t="e">
        <f t="shared" si="259"/>
        <v>#REF!</v>
      </c>
      <c r="U101" s="76" t="str">
        <f t="shared" ca="1" si="223"/>
        <v/>
      </c>
      <c r="V101" s="76" t="s">
        <v>698</v>
      </c>
      <c r="W101" s="82" t="str">
        <f t="shared" ca="1" si="224"/>
        <v/>
      </c>
      <c r="X101" s="144">
        <v>1</v>
      </c>
      <c r="Y101" s="92">
        <f t="shared" si="238"/>
        <v>53.5</v>
      </c>
      <c r="Z101" s="93">
        <f t="shared" si="243"/>
        <v>71814.064285714237</v>
      </c>
      <c r="AA101" s="85" t="e">
        <f t="shared" si="225"/>
        <v>#REF!</v>
      </c>
      <c r="AB101" s="79" t="e">
        <f>SUMIFS(#REF!,#REF!,$B101,#REF!,$C101,#REF!,$H$91)</f>
        <v>#REF!</v>
      </c>
      <c r="AC101" s="81" t="e">
        <f t="shared" si="226"/>
        <v>#REF!</v>
      </c>
      <c r="AD101" s="79" t="e">
        <f t="shared" si="227"/>
        <v>#REF!</v>
      </c>
      <c r="AE101" s="76" t="e">
        <f>SUMIFS(#REF!,#REF!,$B101,#REF!,$C101,#REF!,$H$91)</f>
        <v>#REF!</v>
      </c>
      <c r="AF101" s="94" t="e">
        <f t="shared" si="228"/>
        <v>#REF!</v>
      </c>
      <c r="AG101" s="177"/>
      <c r="AH101" s="76" t="str">
        <f t="shared" ref="AH101:AJ101" ca="1" si="260">IF(MONTH(TODAY())&gt;=$D12,K101-H101,"")</f>
        <v/>
      </c>
      <c r="AI101" s="76" t="str">
        <f t="shared" ca="1" si="260"/>
        <v/>
      </c>
      <c r="AJ101" s="76" t="str">
        <f t="shared" ca="1" si="260"/>
        <v/>
      </c>
      <c r="AK101" s="177"/>
      <c r="AL101" s="76" t="str">
        <f t="shared" ref="AL101:AN101" ca="1" si="261">IF(MONTH(TODAY())&gt;=$D12,AD101-X101,"")</f>
        <v/>
      </c>
      <c r="AM101" s="76" t="str">
        <f t="shared" ca="1" si="261"/>
        <v/>
      </c>
      <c r="AN101" s="76" t="str">
        <f t="shared" ca="1" si="261"/>
        <v/>
      </c>
      <c r="AO101" s="177"/>
      <c r="AP101" s="76" t="str">
        <f t="shared" ref="AP101:AR101" ca="1" si="262">IF(MONTH(TODAY())&gt;=$D12,AD101-AA101,"")</f>
        <v/>
      </c>
      <c r="AQ101" s="76" t="str">
        <f t="shared" ca="1" si="262"/>
        <v/>
      </c>
      <c r="AR101" s="76" t="str">
        <f t="shared" ca="1" si="262"/>
        <v/>
      </c>
    </row>
    <row r="102" spans="2:44" ht="12.75">
      <c r="B102" s="1" t="s">
        <v>714</v>
      </c>
      <c r="C102" s="1" t="s">
        <v>715</v>
      </c>
      <c r="D102" s="60">
        <v>8</v>
      </c>
      <c r="E102" s="60" t="str">
        <f t="shared" si="215"/>
        <v>&gt;=9/1/24</v>
      </c>
      <c r="F102" s="87" t="s">
        <v>716</v>
      </c>
      <c r="G102" s="76" t="s">
        <v>396</v>
      </c>
      <c r="H102" s="143">
        <v>1</v>
      </c>
      <c r="I102" s="131">
        <f t="shared" si="230"/>
        <v>49.661258447617378</v>
      </c>
      <c r="J102" s="93">
        <f t="shared" si="231"/>
        <v>66666.666666666672</v>
      </c>
      <c r="K102" s="128" t="e">
        <f t="shared" si="216"/>
        <v>#REF!</v>
      </c>
      <c r="L102" s="76" t="e">
        <f>SUMIFS(#REF!,#REF!,$B102,#REF!,$C102,#REF!,$H$91)</f>
        <v>#REF!</v>
      </c>
      <c r="M102" s="81" t="e">
        <f t="shared" si="217"/>
        <v>#REF!</v>
      </c>
      <c r="N102" s="129" t="e">
        <f t="shared" si="218"/>
        <v>#REF!</v>
      </c>
      <c r="O102" s="76" t="e">
        <f t="shared" si="219"/>
        <v>#REF!</v>
      </c>
      <c r="P102" s="76" t="str">
        <f t="shared" ca="1" si="220"/>
        <v/>
      </c>
      <c r="Q102" s="76" t="s">
        <v>698</v>
      </c>
      <c r="R102" s="82" t="str">
        <f t="shared" ca="1" si="221"/>
        <v/>
      </c>
      <c r="S102" s="79" t="e">
        <f t="shared" ref="S102:T102" si="263">COUNTIFS(#REF!,$B62,#REF!,$C62,#REF!,$H$91)</f>
        <v>#REF!</v>
      </c>
      <c r="T102" s="76" t="e">
        <f t="shared" si="263"/>
        <v>#REF!</v>
      </c>
      <c r="U102" s="76" t="str">
        <f t="shared" ca="1" si="223"/>
        <v/>
      </c>
      <c r="V102" s="76" t="s">
        <v>698</v>
      </c>
      <c r="W102" s="82" t="str">
        <f t="shared" ca="1" si="224"/>
        <v/>
      </c>
      <c r="X102" s="144">
        <v>1</v>
      </c>
      <c r="Y102" s="92">
        <f t="shared" si="238"/>
        <v>53.5</v>
      </c>
      <c r="Z102" s="93">
        <f t="shared" si="243"/>
        <v>71814.064285714237</v>
      </c>
      <c r="AA102" s="85" t="e">
        <f t="shared" si="225"/>
        <v>#REF!</v>
      </c>
      <c r="AB102" s="79" t="e">
        <f>SUMIFS(#REF!,#REF!,$B102,#REF!,$C102,#REF!,$H$91)</f>
        <v>#REF!</v>
      </c>
      <c r="AC102" s="81" t="e">
        <f t="shared" si="226"/>
        <v>#REF!</v>
      </c>
      <c r="AD102" s="79" t="e">
        <f t="shared" si="227"/>
        <v>#REF!</v>
      </c>
      <c r="AE102" s="76" t="e">
        <f>SUMIFS(#REF!,#REF!,$B102,#REF!,$C102,#REF!,$H$91)</f>
        <v>#REF!</v>
      </c>
      <c r="AF102" s="94" t="e">
        <f t="shared" si="228"/>
        <v>#REF!</v>
      </c>
      <c r="AG102" s="177"/>
      <c r="AH102" s="76" t="str">
        <f t="shared" ref="AH102:AJ102" ca="1" si="264">IF(MONTH(TODAY())&gt;=$D13,K102-H102,"")</f>
        <v/>
      </c>
      <c r="AI102" s="76" t="str">
        <f t="shared" ca="1" si="264"/>
        <v/>
      </c>
      <c r="AJ102" s="76" t="str">
        <f t="shared" ca="1" si="264"/>
        <v/>
      </c>
      <c r="AK102" s="177"/>
      <c r="AL102" s="76" t="str">
        <f t="shared" ref="AL102:AN102" ca="1" si="265">IF(MONTH(TODAY())&gt;=$D13,AD102-X102,"")</f>
        <v/>
      </c>
      <c r="AM102" s="76" t="str">
        <f t="shared" ca="1" si="265"/>
        <v/>
      </c>
      <c r="AN102" s="76" t="str">
        <f t="shared" ca="1" si="265"/>
        <v/>
      </c>
      <c r="AO102" s="177"/>
      <c r="AP102" s="76" t="str">
        <f t="shared" ref="AP102:AR102" ca="1" si="266">IF(MONTH(TODAY())&gt;=$D13,AD102-AA102,"")</f>
        <v/>
      </c>
      <c r="AQ102" s="76" t="str">
        <f t="shared" ca="1" si="266"/>
        <v/>
      </c>
      <c r="AR102" s="76" t="str">
        <f t="shared" ca="1" si="266"/>
        <v/>
      </c>
    </row>
    <row r="103" spans="2:44" ht="12.75">
      <c r="B103" s="1" t="s">
        <v>717</v>
      </c>
      <c r="C103" s="1" t="s">
        <v>718</v>
      </c>
      <c r="D103" s="60">
        <v>9</v>
      </c>
      <c r="E103" s="60" t="str">
        <f t="shared" si="215"/>
        <v>&gt;=10/1/24</v>
      </c>
      <c r="F103" s="87" t="s">
        <v>719</v>
      </c>
      <c r="G103" s="76" t="s">
        <v>396</v>
      </c>
      <c r="H103" s="143">
        <v>1</v>
      </c>
      <c r="I103" s="131">
        <f t="shared" si="230"/>
        <v>49.661258447617378</v>
      </c>
      <c r="J103" s="93">
        <f t="shared" si="231"/>
        <v>66666.666666666672</v>
      </c>
      <c r="K103" s="128" t="e">
        <f t="shared" si="216"/>
        <v>#REF!</v>
      </c>
      <c r="L103" s="76" t="e">
        <f>SUMIFS(#REF!,#REF!,$B103,#REF!,$C103,#REF!,$H$91)</f>
        <v>#REF!</v>
      </c>
      <c r="M103" s="81" t="e">
        <f t="shared" si="217"/>
        <v>#REF!</v>
      </c>
      <c r="N103" s="129" t="e">
        <f t="shared" si="218"/>
        <v>#REF!</v>
      </c>
      <c r="O103" s="76" t="e">
        <f t="shared" si="219"/>
        <v>#REF!</v>
      </c>
      <c r="P103" s="76" t="str">
        <f t="shared" ca="1" si="220"/>
        <v/>
      </c>
      <c r="Q103" s="76" t="s">
        <v>698</v>
      </c>
      <c r="R103" s="82" t="str">
        <f t="shared" ca="1" si="221"/>
        <v/>
      </c>
      <c r="S103" s="79" t="e">
        <f t="shared" ref="S103:T103" si="267">COUNTIFS(#REF!,$B63,#REF!,$C63,#REF!,$H$91)</f>
        <v>#REF!</v>
      </c>
      <c r="T103" s="76" t="e">
        <f t="shared" si="267"/>
        <v>#REF!</v>
      </c>
      <c r="U103" s="76" t="str">
        <f t="shared" ca="1" si="223"/>
        <v/>
      </c>
      <c r="V103" s="76" t="s">
        <v>698</v>
      </c>
      <c r="W103" s="82" t="str">
        <f t="shared" ca="1" si="224"/>
        <v/>
      </c>
      <c r="X103" s="144">
        <v>1</v>
      </c>
      <c r="Y103" s="92">
        <f t="shared" si="238"/>
        <v>53.5</v>
      </c>
      <c r="Z103" s="93">
        <f t="shared" si="243"/>
        <v>71814.064285714237</v>
      </c>
      <c r="AA103" s="85" t="e">
        <f t="shared" si="225"/>
        <v>#REF!</v>
      </c>
      <c r="AB103" s="79" t="e">
        <f>SUMIFS(#REF!,#REF!,$B103,#REF!,$C103,#REF!,$H$91)</f>
        <v>#REF!</v>
      </c>
      <c r="AC103" s="81" t="e">
        <f t="shared" si="226"/>
        <v>#REF!</v>
      </c>
      <c r="AD103" s="79" t="e">
        <f t="shared" si="227"/>
        <v>#REF!</v>
      </c>
      <c r="AE103" s="76" t="e">
        <f>SUMIFS(#REF!,#REF!,$B103,#REF!,$C103,#REF!,$H$91)</f>
        <v>#REF!</v>
      </c>
      <c r="AF103" s="94" t="e">
        <f t="shared" si="228"/>
        <v>#REF!</v>
      </c>
      <c r="AG103" s="177"/>
      <c r="AH103" s="76" t="str">
        <f t="shared" ref="AH103:AJ103" ca="1" si="268">IF(MONTH(TODAY())&gt;=$D14,K103-H103,"")</f>
        <v/>
      </c>
      <c r="AI103" s="76" t="str">
        <f t="shared" ca="1" si="268"/>
        <v/>
      </c>
      <c r="AJ103" s="76" t="str">
        <f t="shared" ca="1" si="268"/>
        <v/>
      </c>
      <c r="AK103" s="177"/>
      <c r="AL103" s="76" t="str">
        <f t="shared" ref="AL103:AN103" ca="1" si="269">IF(MONTH(TODAY())&gt;=$D14,AD103-X103,"")</f>
        <v/>
      </c>
      <c r="AM103" s="76" t="str">
        <f t="shared" ca="1" si="269"/>
        <v/>
      </c>
      <c r="AN103" s="76" t="str">
        <f t="shared" ca="1" si="269"/>
        <v/>
      </c>
      <c r="AO103" s="177"/>
      <c r="AP103" s="76" t="str">
        <f t="shared" ref="AP103:AR103" ca="1" si="270">IF(MONTH(TODAY())&gt;=$D14,AD103-AA103,"")</f>
        <v/>
      </c>
      <c r="AQ103" s="76" t="str">
        <f t="shared" ca="1" si="270"/>
        <v/>
      </c>
      <c r="AR103" s="76" t="str">
        <f t="shared" ca="1" si="270"/>
        <v/>
      </c>
    </row>
    <row r="104" spans="2:44" ht="12.75">
      <c r="B104" s="1" t="s">
        <v>720</v>
      </c>
      <c r="C104" s="1" t="s">
        <v>721</v>
      </c>
      <c r="D104" s="60">
        <v>10</v>
      </c>
      <c r="E104" s="60" t="str">
        <f t="shared" si="215"/>
        <v>&gt;=11/1/24</v>
      </c>
      <c r="F104" s="87" t="s">
        <v>722</v>
      </c>
      <c r="G104" s="76" t="s">
        <v>396</v>
      </c>
      <c r="H104" s="143">
        <v>0</v>
      </c>
      <c r="I104" s="131">
        <f t="shared" ref="I104:I106" si="271">H104*10</f>
        <v>0</v>
      </c>
      <c r="J104" s="93">
        <f t="shared" si="231"/>
        <v>0</v>
      </c>
      <c r="K104" s="128" t="e">
        <f t="shared" si="216"/>
        <v>#REF!</v>
      </c>
      <c r="L104" s="76" t="e">
        <f>SUMIFS(#REF!,#REF!,$B104,#REF!,$C104,#REF!,$H$91)</f>
        <v>#REF!</v>
      </c>
      <c r="M104" s="81" t="e">
        <f t="shared" si="217"/>
        <v>#REF!</v>
      </c>
      <c r="N104" s="129" t="e">
        <f t="shared" si="218"/>
        <v>#REF!</v>
      </c>
      <c r="O104" s="76" t="e">
        <f t="shared" si="219"/>
        <v>#REF!</v>
      </c>
      <c r="P104" s="76" t="str">
        <f t="shared" ca="1" si="220"/>
        <v/>
      </c>
      <c r="Q104" s="76" t="s">
        <v>698</v>
      </c>
      <c r="R104" s="82" t="str">
        <f t="shared" ca="1" si="221"/>
        <v/>
      </c>
      <c r="S104" s="79" t="e">
        <f t="shared" ref="S104:T104" si="272">COUNTIFS(#REF!,$B64,#REF!,$C64,#REF!,$H$91)</f>
        <v>#REF!</v>
      </c>
      <c r="T104" s="76" t="e">
        <f t="shared" si="272"/>
        <v>#REF!</v>
      </c>
      <c r="U104" s="76" t="str">
        <f t="shared" ca="1" si="223"/>
        <v/>
      </c>
      <c r="V104" s="76" t="s">
        <v>698</v>
      </c>
      <c r="W104" s="82" t="str">
        <f t="shared" ca="1" si="224"/>
        <v/>
      </c>
      <c r="X104" s="144">
        <v>1</v>
      </c>
      <c r="Y104" s="92">
        <f t="shared" si="238"/>
        <v>53.5</v>
      </c>
      <c r="Z104" s="93">
        <f t="shared" si="243"/>
        <v>71814.064285714237</v>
      </c>
      <c r="AA104" s="85" t="e">
        <f t="shared" si="225"/>
        <v>#REF!</v>
      </c>
      <c r="AB104" s="79" t="e">
        <f>SUMIFS(#REF!,#REF!,$B104,#REF!,$C104,#REF!,$H$91)</f>
        <v>#REF!</v>
      </c>
      <c r="AC104" s="81" t="e">
        <f t="shared" si="226"/>
        <v>#REF!</v>
      </c>
      <c r="AD104" s="79" t="e">
        <f t="shared" si="227"/>
        <v>#REF!</v>
      </c>
      <c r="AE104" s="76" t="e">
        <f>SUMIFS(#REF!,#REF!,$B104,#REF!,$C104,#REF!,$H$91)</f>
        <v>#REF!</v>
      </c>
      <c r="AF104" s="94" t="e">
        <f t="shared" si="228"/>
        <v>#REF!</v>
      </c>
      <c r="AG104" s="177"/>
      <c r="AH104" s="76" t="str">
        <f t="shared" ref="AH104:AJ104" ca="1" si="273">IF(MONTH(TODAY())&gt;=$D15,K104-H104,"")</f>
        <v/>
      </c>
      <c r="AI104" s="76" t="str">
        <f t="shared" ca="1" si="273"/>
        <v/>
      </c>
      <c r="AJ104" s="76" t="str">
        <f t="shared" ca="1" si="273"/>
        <v/>
      </c>
      <c r="AK104" s="177"/>
      <c r="AL104" s="76" t="str">
        <f t="shared" ref="AL104:AN104" ca="1" si="274">IF(MONTH(TODAY())&gt;=$D15,AD104-X104,"")</f>
        <v/>
      </c>
      <c r="AM104" s="76" t="str">
        <f t="shared" ca="1" si="274"/>
        <v/>
      </c>
      <c r="AN104" s="76" t="str">
        <f t="shared" ca="1" si="274"/>
        <v/>
      </c>
      <c r="AO104" s="177"/>
      <c r="AP104" s="76" t="str">
        <f t="shared" ref="AP104:AR104" ca="1" si="275">IF(MONTH(TODAY())&gt;=$D15,AD104-AA104,"")</f>
        <v/>
      </c>
      <c r="AQ104" s="76" t="str">
        <f t="shared" ca="1" si="275"/>
        <v/>
      </c>
      <c r="AR104" s="76" t="str">
        <f t="shared" ca="1" si="275"/>
        <v/>
      </c>
    </row>
    <row r="105" spans="2:44" ht="12.75">
      <c r="B105" s="1" t="s">
        <v>723</v>
      </c>
      <c r="C105" s="1" t="s">
        <v>724</v>
      </c>
      <c r="D105" s="60">
        <v>11</v>
      </c>
      <c r="E105" s="60" t="str">
        <f t="shared" si="215"/>
        <v>&gt;=12/1/24</v>
      </c>
      <c r="F105" s="87" t="s">
        <v>725</v>
      </c>
      <c r="G105" s="76" t="s">
        <v>396</v>
      </c>
      <c r="H105" s="143">
        <v>0</v>
      </c>
      <c r="I105" s="131">
        <f t="shared" si="271"/>
        <v>0</v>
      </c>
      <c r="J105" s="93">
        <f t="shared" si="231"/>
        <v>0</v>
      </c>
      <c r="K105" s="128" t="e">
        <f t="shared" si="216"/>
        <v>#REF!</v>
      </c>
      <c r="L105" s="76" t="e">
        <f>SUMIFS(#REF!,#REF!,$B105,#REF!,$C105,#REF!,$H$91)</f>
        <v>#REF!</v>
      </c>
      <c r="M105" s="81" t="e">
        <f t="shared" si="217"/>
        <v>#REF!</v>
      </c>
      <c r="N105" s="129" t="e">
        <f t="shared" si="218"/>
        <v>#REF!</v>
      </c>
      <c r="O105" s="76" t="e">
        <f t="shared" si="219"/>
        <v>#REF!</v>
      </c>
      <c r="P105" s="76" t="str">
        <f t="shared" ca="1" si="220"/>
        <v/>
      </c>
      <c r="Q105" s="76" t="s">
        <v>698</v>
      </c>
      <c r="R105" s="82" t="str">
        <f t="shared" ca="1" si="221"/>
        <v/>
      </c>
      <c r="S105" s="79" t="e">
        <f t="shared" ref="S105:T105" si="276">COUNTIFS(#REF!,$B65,#REF!,$C65,#REF!,$H$91)</f>
        <v>#REF!</v>
      </c>
      <c r="T105" s="76" t="e">
        <f t="shared" si="276"/>
        <v>#REF!</v>
      </c>
      <c r="U105" s="76" t="str">
        <f t="shared" ca="1" si="223"/>
        <v/>
      </c>
      <c r="V105" s="76" t="s">
        <v>698</v>
      </c>
      <c r="W105" s="82" t="str">
        <f t="shared" ca="1" si="224"/>
        <v/>
      </c>
      <c r="X105" s="144">
        <v>0</v>
      </c>
      <c r="Y105" s="92">
        <f t="shared" si="238"/>
        <v>0</v>
      </c>
      <c r="Z105" s="93">
        <f t="shared" ref="Z105:Z106" si="277">$Z$68/$X$68*X105</f>
        <v>0</v>
      </c>
      <c r="AA105" s="85" t="e">
        <f t="shared" si="225"/>
        <v>#REF!</v>
      </c>
      <c r="AB105" s="79" t="e">
        <f>SUMIFS(#REF!,#REF!,$B105,#REF!,$C105,#REF!,$H$91)</f>
        <v>#REF!</v>
      </c>
      <c r="AC105" s="81" t="e">
        <f t="shared" si="226"/>
        <v>#REF!</v>
      </c>
      <c r="AD105" s="79" t="e">
        <f t="shared" si="227"/>
        <v>#REF!</v>
      </c>
      <c r="AE105" s="76" t="e">
        <f>SUMIFS(#REF!,#REF!,$B105,#REF!,$C105,#REF!,$H$91)</f>
        <v>#REF!</v>
      </c>
      <c r="AF105" s="94" t="e">
        <f t="shared" si="228"/>
        <v>#REF!</v>
      </c>
      <c r="AG105" s="177"/>
      <c r="AH105" s="76" t="str">
        <f t="shared" ref="AH105:AJ105" ca="1" si="278">IF(MONTH(TODAY())&gt;=$D16,K105-H105,"")</f>
        <v/>
      </c>
      <c r="AI105" s="76" t="str">
        <f t="shared" ca="1" si="278"/>
        <v/>
      </c>
      <c r="AJ105" s="76" t="str">
        <f t="shared" ca="1" si="278"/>
        <v/>
      </c>
      <c r="AK105" s="177"/>
      <c r="AL105" s="76" t="str">
        <f t="shared" ref="AL105:AN105" ca="1" si="279">IF(MONTH(TODAY())&gt;=$D16,AD105-X105,"")</f>
        <v/>
      </c>
      <c r="AM105" s="76" t="str">
        <f t="shared" ca="1" si="279"/>
        <v/>
      </c>
      <c r="AN105" s="76" t="str">
        <f t="shared" ca="1" si="279"/>
        <v/>
      </c>
      <c r="AO105" s="177"/>
      <c r="AP105" s="76" t="str">
        <f t="shared" ref="AP105:AR105" ca="1" si="280">IF(MONTH(TODAY())&gt;=$D16,AD105-AA105,"")</f>
        <v/>
      </c>
      <c r="AQ105" s="76" t="str">
        <f t="shared" ca="1" si="280"/>
        <v/>
      </c>
      <c r="AR105" s="76" t="str">
        <f t="shared" ca="1" si="280"/>
        <v/>
      </c>
    </row>
    <row r="106" spans="2:44" ht="12.75">
      <c r="B106" s="1" t="s">
        <v>726</v>
      </c>
      <c r="C106" s="1" t="s">
        <v>727</v>
      </c>
      <c r="D106" s="60">
        <v>12</v>
      </c>
      <c r="E106" s="60" t="str">
        <f t="shared" si="215"/>
        <v>&gt;=1/1/25</v>
      </c>
      <c r="F106" s="96" t="s">
        <v>728</v>
      </c>
      <c r="G106" s="76" t="s">
        <v>396</v>
      </c>
      <c r="H106" s="143">
        <v>0</v>
      </c>
      <c r="I106" s="131">
        <f t="shared" si="271"/>
        <v>0</v>
      </c>
      <c r="J106" s="93">
        <f t="shared" si="231"/>
        <v>0</v>
      </c>
      <c r="K106" s="128" t="e">
        <f t="shared" si="216"/>
        <v>#REF!</v>
      </c>
      <c r="L106" s="76" t="e">
        <f>SUMIFS(#REF!,#REF!,$B106,#REF!,$C106,#REF!,$H$91)</f>
        <v>#REF!</v>
      </c>
      <c r="M106" s="81" t="e">
        <f t="shared" si="217"/>
        <v>#REF!</v>
      </c>
      <c r="N106" s="129" t="e">
        <f t="shared" si="218"/>
        <v>#REF!</v>
      </c>
      <c r="O106" s="76" t="e">
        <f t="shared" si="219"/>
        <v>#REF!</v>
      </c>
      <c r="P106" s="76" t="str">
        <f t="shared" ca="1" si="220"/>
        <v/>
      </c>
      <c r="Q106" s="76" t="s">
        <v>698</v>
      </c>
      <c r="R106" s="82" t="str">
        <f t="shared" ca="1" si="221"/>
        <v/>
      </c>
      <c r="S106" s="79" t="e">
        <f t="shared" ref="S106:T106" si="281">COUNTIFS(#REF!,$B66,#REF!,$C66,#REF!,$H$91)</f>
        <v>#REF!</v>
      </c>
      <c r="T106" s="76" t="e">
        <f t="shared" si="281"/>
        <v>#REF!</v>
      </c>
      <c r="U106" s="76" t="str">
        <f t="shared" ca="1" si="223"/>
        <v/>
      </c>
      <c r="V106" s="76" t="s">
        <v>698</v>
      </c>
      <c r="W106" s="82" t="str">
        <f t="shared" ca="1" si="224"/>
        <v/>
      </c>
      <c r="X106" s="144">
        <v>0</v>
      </c>
      <c r="Y106" s="92">
        <f t="shared" si="238"/>
        <v>0</v>
      </c>
      <c r="Z106" s="93">
        <f t="shared" si="277"/>
        <v>0</v>
      </c>
      <c r="AA106" s="85" t="e">
        <f t="shared" si="225"/>
        <v>#REF!</v>
      </c>
      <c r="AB106" s="79" t="e">
        <f>SUMIFS(#REF!,#REF!,$B106,#REF!,$C106,#REF!,$H$91)</f>
        <v>#REF!</v>
      </c>
      <c r="AC106" s="81" t="e">
        <f t="shared" si="226"/>
        <v>#REF!</v>
      </c>
      <c r="AD106" s="79" t="e">
        <f t="shared" si="227"/>
        <v>#REF!</v>
      </c>
      <c r="AE106" s="76" t="e">
        <f>SUMIFS(#REF!,#REF!,$B106,#REF!,$C106,#REF!,$H$91)</f>
        <v>#REF!</v>
      </c>
      <c r="AF106" s="94" t="e">
        <f t="shared" si="228"/>
        <v>#REF!</v>
      </c>
      <c r="AG106" s="177"/>
      <c r="AH106" s="76" t="str">
        <f t="shared" ref="AH106:AJ106" ca="1" si="282">IF(MONTH(TODAY())&gt;=$D17,K106-H106,"")</f>
        <v/>
      </c>
      <c r="AI106" s="76" t="str">
        <f t="shared" ca="1" si="282"/>
        <v/>
      </c>
      <c r="AJ106" s="76" t="str">
        <f t="shared" ca="1" si="282"/>
        <v/>
      </c>
      <c r="AK106" s="177"/>
      <c r="AL106" s="76" t="str">
        <f t="shared" ref="AL106:AN106" ca="1" si="283">IF(MONTH(TODAY())&gt;=$D17,AD106-X106,"")</f>
        <v/>
      </c>
      <c r="AM106" s="76" t="str">
        <f t="shared" ca="1" si="283"/>
        <v/>
      </c>
      <c r="AN106" s="76" t="str">
        <f t="shared" ca="1" si="283"/>
        <v/>
      </c>
      <c r="AO106" s="177"/>
      <c r="AP106" s="76" t="str">
        <f t="shared" ref="AP106:AR106" ca="1" si="284">IF(MONTH(TODAY())&gt;=$D17,AD106-AA106,"")</f>
        <v/>
      </c>
      <c r="AQ106" s="76" t="str">
        <f t="shared" ca="1" si="284"/>
        <v/>
      </c>
      <c r="AR106" s="76" t="str">
        <f t="shared" ca="1" si="284"/>
        <v/>
      </c>
    </row>
    <row r="107" spans="2:44" ht="12.75">
      <c r="B107" s="1" t="s">
        <v>729</v>
      </c>
      <c r="C107" s="1" t="s">
        <v>730</v>
      </c>
      <c r="D107" s="40"/>
      <c r="E107" s="97" t="str">
        <f t="shared" si="215"/>
        <v>&gt;=1/1/26</v>
      </c>
      <c r="F107" s="98">
        <v>2025</v>
      </c>
      <c r="G107" s="99" t="s">
        <v>396</v>
      </c>
      <c r="H107" s="100"/>
      <c r="I107" s="100"/>
      <c r="J107" s="101"/>
      <c r="K107" s="133" t="e">
        <f t="shared" si="216"/>
        <v>#REF!</v>
      </c>
      <c r="L107" s="99" t="e">
        <f>SUMIFS(#REF!,#REF!,$B107,#REF!,$C107,#REF!,$H$91)</f>
        <v>#REF!</v>
      </c>
      <c r="M107" s="104" t="e">
        <f t="shared" si="217"/>
        <v>#REF!</v>
      </c>
      <c r="N107" s="145" t="e">
        <f t="shared" si="218"/>
        <v>#REF!</v>
      </c>
      <c r="O107" s="99" t="e">
        <f t="shared" si="219"/>
        <v>#REF!</v>
      </c>
      <c r="P107" s="100"/>
      <c r="Q107" s="100"/>
      <c r="R107" s="101"/>
      <c r="S107" s="102" t="e">
        <f t="shared" ref="S107:T107" si="285">COUNTIFS(#REF!,$B67,#REF!,$C67,#REF!,$H$91)</f>
        <v>#REF!</v>
      </c>
      <c r="T107" s="99" t="e">
        <f t="shared" si="285"/>
        <v>#REF!</v>
      </c>
      <c r="U107" s="100"/>
      <c r="V107" s="100"/>
      <c r="W107" s="101"/>
      <c r="X107" s="105"/>
      <c r="Y107" s="100"/>
      <c r="Z107" s="101"/>
      <c r="AA107" s="107" t="e">
        <f t="shared" si="225"/>
        <v>#REF!</v>
      </c>
      <c r="AB107" s="102" t="e">
        <f>SUMIFS(#REF!,#REF!,$B107,#REF!,$C107,#REF!,$H$91)</f>
        <v>#REF!</v>
      </c>
      <c r="AC107" s="104" t="e">
        <f t="shared" si="226"/>
        <v>#REF!</v>
      </c>
      <c r="AD107" s="102" t="e">
        <f t="shared" si="227"/>
        <v>#REF!</v>
      </c>
      <c r="AE107" s="99" t="e">
        <f>SUMIFS(#REF!,#REF!,$B107,#REF!,$C107,#REF!,$H$91)</f>
        <v>#REF!</v>
      </c>
      <c r="AF107" s="146" t="e">
        <f t="shared" si="228"/>
        <v>#REF!</v>
      </c>
      <c r="AG107" s="177"/>
      <c r="AH107" s="100"/>
      <c r="AI107" s="100"/>
      <c r="AJ107" s="100"/>
      <c r="AK107" s="177"/>
      <c r="AL107" s="100"/>
      <c r="AM107" s="100"/>
      <c r="AN107" s="100"/>
      <c r="AO107" s="177"/>
      <c r="AP107" s="100"/>
      <c r="AQ107" s="100"/>
      <c r="AR107" s="100"/>
    </row>
    <row r="108" spans="2:44" ht="12.75">
      <c r="B108" s="177"/>
      <c r="C108" s="177"/>
      <c r="D108" s="1"/>
      <c r="E108" s="1"/>
      <c r="F108" s="109" t="s">
        <v>731</v>
      </c>
      <c r="G108" s="109" t="s">
        <v>396</v>
      </c>
      <c r="H108" s="109">
        <f>SUM(H95:H106)</f>
        <v>9</v>
      </c>
      <c r="I108" s="114">
        <f t="shared" ref="I108:J108" si="286">I19-I68</f>
        <v>446.95132602855642</v>
      </c>
      <c r="J108" s="137">
        <f t="shared" si="286"/>
        <v>600000</v>
      </c>
      <c r="K108" s="136" t="e">
        <f t="shared" ref="K108:O108" si="287">SUM(K94:K107)</f>
        <v>#REF!</v>
      </c>
      <c r="L108" s="109" t="e">
        <f t="shared" si="287"/>
        <v>#REF!</v>
      </c>
      <c r="M108" s="137" t="e">
        <f t="shared" si="287"/>
        <v>#REF!</v>
      </c>
      <c r="N108" s="113" t="e">
        <f t="shared" si="287"/>
        <v>#REF!</v>
      </c>
      <c r="O108" s="113" t="e">
        <f t="shared" si="287"/>
        <v>#REF!</v>
      </c>
      <c r="P108" s="109" t="e">
        <f t="shared" ref="P108:R108" ca="1" si="288">INDEX(P94:P107,MONTH(TODAY())+1)</f>
        <v>#REF!</v>
      </c>
      <c r="Q108" s="109" t="str">
        <f t="shared" ca="1" si="288"/>
        <v/>
      </c>
      <c r="R108" s="115" t="e">
        <f t="shared" ca="1" si="288"/>
        <v>#REF!</v>
      </c>
      <c r="S108" s="113" t="e">
        <f t="shared" ref="S108:T108" si="289">SUM(S94:S107)</f>
        <v>#REF!</v>
      </c>
      <c r="T108" s="109" t="e">
        <f t="shared" si="289"/>
        <v>#REF!</v>
      </c>
      <c r="U108" s="109" t="e">
        <f t="shared" ref="U108:W108" ca="1" si="290">INDEX(U94:U107,MONTH(TODAY())+1)</f>
        <v>#REF!</v>
      </c>
      <c r="V108" s="109" t="str">
        <f t="shared" ca="1" si="290"/>
        <v/>
      </c>
      <c r="W108" s="115" t="e">
        <f t="shared" ca="1" si="290"/>
        <v>#REF!</v>
      </c>
      <c r="X108" s="138">
        <f t="shared" ref="X108:Y108" si="291">SUM(X94:X107)</f>
        <v>8</v>
      </c>
      <c r="Y108" s="139">
        <f t="shared" si="291"/>
        <v>428</v>
      </c>
      <c r="Z108" s="140">
        <f>Z19-Z68</f>
        <v>574512.5142857139</v>
      </c>
      <c r="AA108" s="119" t="e">
        <f t="shared" ref="AA108:AF108" si="292">SUM(AA94:AA107)</f>
        <v>#REF!</v>
      </c>
      <c r="AB108" s="113" t="e">
        <f t="shared" si="292"/>
        <v>#REF!</v>
      </c>
      <c r="AC108" s="137" t="e">
        <f t="shared" si="292"/>
        <v>#REF!</v>
      </c>
      <c r="AD108" s="113" t="e">
        <f t="shared" si="292"/>
        <v>#REF!</v>
      </c>
      <c r="AE108" s="109" t="e">
        <f t="shared" si="292"/>
        <v>#REF!</v>
      </c>
      <c r="AF108" s="121" t="e">
        <f t="shared" si="292"/>
        <v>#REF!</v>
      </c>
      <c r="AG108" s="177"/>
      <c r="AH108" s="109" t="e">
        <f ca="1">SUM(AH95:AH106)</f>
        <v>#REF!</v>
      </c>
      <c r="AI108" s="109" t="e">
        <f t="shared" ref="AI108:AJ108" ca="1" si="293">SUM(AI95:AI107)</f>
        <v>#REF!</v>
      </c>
      <c r="AJ108" s="109" t="e">
        <f t="shared" ca="1" si="293"/>
        <v>#REF!</v>
      </c>
      <c r="AK108" s="177"/>
      <c r="AL108" s="109" t="e">
        <f t="shared" ref="AL108:AN108" ca="1" si="294">SUM(AL95:AL107)</f>
        <v>#REF!</v>
      </c>
      <c r="AM108" s="109" t="e">
        <f t="shared" ca="1" si="294"/>
        <v>#REF!</v>
      </c>
      <c r="AN108" s="109" t="e">
        <f t="shared" ca="1" si="294"/>
        <v>#REF!</v>
      </c>
      <c r="AO108" s="177"/>
      <c r="AP108" s="109" t="e">
        <f t="shared" ref="AP108:AR108" ca="1" si="295">SUM(AP94:AP107)</f>
        <v>#REF!</v>
      </c>
      <c r="AQ108" s="109" t="e">
        <f t="shared" ca="1" si="295"/>
        <v>#REF!</v>
      </c>
      <c r="AR108" s="109" t="e">
        <f t="shared" ca="1" si="295"/>
        <v>#REF!</v>
      </c>
    </row>
    <row r="109" spans="2:44" ht="12.75">
      <c r="B109" s="177"/>
      <c r="C109" s="177"/>
      <c r="D109" s="1"/>
      <c r="E109" s="1"/>
      <c r="F109" s="76" t="s">
        <v>732</v>
      </c>
      <c r="G109" s="76" t="s">
        <v>396</v>
      </c>
      <c r="H109" s="77"/>
      <c r="I109" s="77"/>
      <c r="J109" s="78"/>
      <c r="K109" s="128" t="e">
        <f t="shared" ref="K109:O109" si="296">SUM(K95:K106)</f>
        <v>#REF!</v>
      </c>
      <c r="L109" s="76" t="e">
        <f t="shared" si="296"/>
        <v>#REF!</v>
      </c>
      <c r="M109" s="81" t="e">
        <f t="shared" si="296"/>
        <v>#REF!</v>
      </c>
      <c r="N109" s="79" t="e">
        <f t="shared" si="296"/>
        <v>#REF!</v>
      </c>
      <c r="O109" s="79" t="e">
        <f t="shared" si="296"/>
        <v>#REF!</v>
      </c>
      <c r="P109" s="77"/>
      <c r="Q109" s="77"/>
      <c r="R109" s="78"/>
      <c r="S109" s="79" t="e">
        <f t="shared" ref="S109:T109" si="297">SUM(S95:S106)</f>
        <v>#REF!</v>
      </c>
      <c r="T109" s="76" t="e">
        <f t="shared" si="297"/>
        <v>#REF!</v>
      </c>
      <c r="U109" s="77"/>
      <c r="V109" s="77"/>
      <c r="W109" s="78"/>
      <c r="X109" s="79">
        <f t="shared" ref="X109:Y109" si="298">SUM(X95:X106)</f>
        <v>8</v>
      </c>
      <c r="Y109" s="76">
        <f t="shared" si="298"/>
        <v>428</v>
      </c>
      <c r="Z109" s="81">
        <f>Z108</f>
        <v>574512.5142857139</v>
      </c>
      <c r="AA109" s="85" t="e">
        <f t="shared" ref="AA109:AF109" si="299">SUM(AA95:AA106)</f>
        <v>#REF!</v>
      </c>
      <c r="AB109" s="79" t="e">
        <f t="shared" si="299"/>
        <v>#REF!</v>
      </c>
      <c r="AC109" s="81" t="e">
        <f t="shared" si="299"/>
        <v>#REF!</v>
      </c>
      <c r="AD109" s="79" t="e">
        <f t="shared" si="299"/>
        <v>#REF!</v>
      </c>
      <c r="AE109" s="76" t="e">
        <f t="shared" si="299"/>
        <v>#REF!</v>
      </c>
      <c r="AF109" s="94" t="e">
        <f t="shared" si="299"/>
        <v>#REF!</v>
      </c>
      <c r="AG109" s="177"/>
      <c r="AH109" s="76" t="e">
        <f ca="1">SUM(AH95:AH106)</f>
        <v>#REF!</v>
      </c>
      <c r="AI109" s="76" t="e">
        <f t="shared" ref="AI109:AJ109" ca="1" si="300">SUM(AI95:AI107)</f>
        <v>#REF!</v>
      </c>
      <c r="AJ109" s="76" t="e">
        <f t="shared" ca="1" si="300"/>
        <v>#REF!</v>
      </c>
      <c r="AK109" s="177"/>
      <c r="AL109" s="76" t="e">
        <f t="shared" ref="AL109:AN109" ca="1" si="301">SUM(AL95:AL107)</f>
        <v>#REF!</v>
      </c>
      <c r="AM109" s="76" t="e">
        <f t="shared" ca="1" si="301"/>
        <v>#REF!</v>
      </c>
      <c r="AN109" s="76" t="e">
        <f t="shared" ca="1" si="301"/>
        <v>#REF!</v>
      </c>
      <c r="AO109" s="177"/>
      <c r="AP109" s="76" t="e">
        <f t="shared" ref="AP109:AR109" ca="1" si="302">SUM(AP95:AP106)</f>
        <v>#REF!</v>
      </c>
      <c r="AQ109" s="76" t="e">
        <f t="shared" ca="1" si="302"/>
        <v>#REF!</v>
      </c>
      <c r="AR109" s="76" t="e">
        <f t="shared" ca="1" si="302"/>
        <v>#REF!</v>
      </c>
    </row>
    <row r="112" spans="2:44" ht="12.75"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  <c r="AH112" s="204" t="s">
        <v>745</v>
      </c>
      <c r="AI112" s="205"/>
      <c r="AJ112" s="206"/>
      <c r="AK112" s="177"/>
      <c r="AL112" s="204" t="s">
        <v>746</v>
      </c>
      <c r="AM112" s="205"/>
      <c r="AN112" s="206"/>
      <c r="AO112" s="177"/>
      <c r="AP112" s="177"/>
      <c r="AQ112" s="177"/>
      <c r="AR112" s="177"/>
    </row>
    <row r="113" spans="4:40" ht="12.75">
      <c r="D113" s="63"/>
      <c r="E113" s="63"/>
      <c r="F113" s="64" t="s">
        <v>673</v>
      </c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" t="s">
        <v>747</v>
      </c>
      <c r="AG113" s="177"/>
      <c r="AH113" s="207" t="s">
        <v>759</v>
      </c>
      <c r="AI113" s="200"/>
      <c r="AJ113" s="203"/>
      <c r="AK113" s="177"/>
      <c r="AL113" s="208" t="s">
        <v>756</v>
      </c>
      <c r="AM113" s="205"/>
      <c r="AN113" s="206"/>
    </row>
    <row r="114" spans="4:40" ht="12.75">
      <c r="D114" s="60"/>
      <c r="E114" s="60"/>
      <c r="F114" s="87" t="s">
        <v>694</v>
      </c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">
        <v>12</v>
      </c>
      <c r="AG114" s="177"/>
      <c r="AH114" s="123" t="str">
        <f t="shared" ref="AH114:AH125" ca="1" si="303">IF(MONTH(TODAY())=$D6,$AH$126/$AF114,"")</f>
        <v/>
      </c>
      <c r="AI114" s="80" t="str">
        <f t="shared" ref="AI114:AI125" ca="1" si="304">IF(MONTH(TODAY())=$D6,$AI$126/$AF114,"")</f>
        <v/>
      </c>
      <c r="AJ114" s="76" t="str">
        <f t="shared" ref="AJ114:AJ125" ca="1" si="305">IF(MONTH(TODAY())=$D6,$AJ$126/AF114,"")</f>
        <v/>
      </c>
      <c r="AK114" s="177"/>
      <c r="AL114" s="95" t="str">
        <f t="shared" ref="AL114:AL115" ca="1" si="306">IF(MONTH(TODAY())=$D6,$AL$86/$AF114,"")</f>
        <v/>
      </c>
      <c r="AM114" s="80" t="str">
        <f t="shared" ref="AM114:AM115" ca="1" si="307">IF(MONTH(TODAY())=$D6,$AM$86/$AF114,"")</f>
        <v/>
      </c>
      <c r="AN114" s="76" t="str">
        <f t="shared" ref="AN114:AN115" ca="1" si="308">IF(MONTH(TODAY())=$D6,$AN$86/AF114,"")</f>
        <v/>
      </c>
    </row>
    <row r="115" spans="4:40" ht="12.75">
      <c r="D115" s="60"/>
      <c r="E115" s="60"/>
      <c r="F115" s="87" t="s">
        <v>697</v>
      </c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  <c r="AA115" s="177"/>
      <c r="AB115" s="177"/>
      <c r="AC115" s="177"/>
      <c r="AD115" s="177"/>
      <c r="AE115" s="177"/>
      <c r="AF115" s="1">
        <v>11</v>
      </c>
      <c r="AG115" s="177"/>
      <c r="AH115" s="123" t="str">
        <f t="shared" ca="1" si="303"/>
        <v/>
      </c>
      <c r="AI115" s="80" t="str">
        <f t="shared" ca="1" si="304"/>
        <v/>
      </c>
      <c r="AJ115" s="76" t="str">
        <f t="shared" ca="1" si="305"/>
        <v/>
      </c>
      <c r="AK115" s="177"/>
      <c r="AL115" s="95" t="str">
        <f t="shared" ca="1" si="306"/>
        <v/>
      </c>
      <c r="AM115" s="80" t="str">
        <f t="shared" ca="1" si="307"/>
        <v/>
      </c>
      <c r="AN115" s="76" t="str">
        <f t="shared" ca="1" si="308"/>
        <v/>
      </c>
    </row>
    <row r="116" spans="4:40" ht="12.75">
      <c r="D116" s="60"/>
      <c r="E116" s="60"/>
      <c r="F116" s="87" t="s">
        <v>701</v>
      </c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  <c r="AA116" s="177"/>
      <c r="AB116" s="177"/>
      <c r="AC116" s="177"/>
      <c r="AD116" s="177"/>
      <c r="AE116" s="177"/>
      <c r="AF116" s="1">
        <v>10</v>
      </c>
      <c r="AG116" s="177"/>
      <c r="AH116" s="123" t="e">
        <f t="shared" ca="1" si="303"/>
        <v>#REF!</v>
      </c>
      <c r="AI116" s="80" t="e">
        <f t="shared" ca="1" si="304"/>
        <v>#REF!</v>
      </c>
      <c r="AJ116" s="76" t="e">
        <f t="shared" ca="1" si="305"/>
        <v>#REF!</v>
      </c>
      <c r="AK116" s="177"/>
      <c r="AL116" s="95" t="e">
        <f ca="1">IF(MONTH(TODAY())=$D8,$AL$126/$AF116,"")</f>
        <v>#REF!</v>
      </c>
      <c r="AM116" s="80" t="e">
        <f ca="1">IF(MONTH(TODAY())=$D8,$AM$126/$AF116,"")</f>
        <v>#REF!</v>
      </c>
      <c r="AN116" s="76" t="e">
        <f ca="1">IF(MONTH(TODAY())=$D8,$AN$126/AF116,"")</f>
        <v>#REF!</v>
      </c>
    </row>
    <row r="117" spans="4:40" ht="12.75">
      <c r="D117" s="60"/>
      <c r="E117" s="60"/>
      <c r="F117" s="87" t="s">
        <v>704</v>
      </c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  <c r="AA117" s="177"/>
      <c r="AB117" s="177"/>
      <c r="AC117" s="177"/>
      <c r="AD117" s="177"/>
      <c r="AE117" s="177"/>
      <c r="AF117" s="1">
        <v>9</v>
      </c>
      <c r="AG117" s="177"/>
      <c r="AH117" s="123" t="str">
        <f t="shared" ca="1" si="303"/>
        <v/>
      </c>
      <c r="AI117" s="80" t="str">
        <f t="shared" ca="1" si="304"/>
        <v/>
      </c>
      <c r="AJ117" s="76" t="str">
        <f t="shared" ca="1" si="305"/>
        <v/>
      </c>
      <c r="AK117" s="177"/>
      <c r="AL117" s="95" t="str">
        <f t="shared" ref="AL117:AL125" ca="1" si="309">IF(MONTH(TODAY())=$D9,$AL$86/$AF117,"")</f>
        <v/>
      </c>
      <c r="AM117" s="80" t="str">
        <f t="shared" ref="AM117:AM125" ca="1" si="310">IF(MONTH(TODAY())=$D9,$AM$86/$AF117,"")</f>
        <v/>
      </c>
      <c r="AN117" s="76" t="str">
        <f t="shared" ref="AN117:AN125" ca="1" si="311">IF(MONTH(TODAY())=$D9,$AN$86/AF117,"")</f>
        <v/>
      </c>
    </row>
    <row r="118" spans="4:40" ht="12.75">
      <c r="D118" s="60"/>
      <c r="E118" s="60"/>
      <c r="F118" s="87" t="s">
        <v>707</v>
      </c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  <c r="AA118" s="177"/>
      <c r="AB118" s="177"/>
      <c r="AC118" s="177"/>
      <c r="AD118" s="177"/>
      <c r="AE118" s="177"/>
      <c r="AF118" s="1">
        <v>8</v>
      </c>
      <c r="AG118" s="177"/>
      <c r="AH118" s="123" t="str">
        <f t="shared" ca="1" si="303"/>
        <v/>
      </c>
      <c r="AI118" s="80" t="str">
        <f t="shared" ca="1" si="304"/>
        <v/>
      </c>
      <c r="AJ118" s="76" t="str">
        <f t="shared" ca="1" si="305"/>
        <v/>
      </c>
      <c r="AK118" s="177"/>
      <c r="AL118" s="95" t="str">
        <f t="shared" ca="1" si="309"/>
        <v/>
      </c>
      <c r="AM118" s="80" t="str">
        <f t="shared" ca="1" si="310"/>
        <v/>
      </c>
      <c r="AN118" s="76" t="str">
        <f t="shared" ca="1" si="311"/>
        <v/>
      </c>
    </row>
    <row r="119" spans="4:40" ht="12.75">
      <c r="D119" s="60"/>
      <c r="E119" s="60"/>
      <c r="F119" s="87" t="s">
        <v>710</v>
      </c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  <c r="AA119" s="177"/>
      <c r="AB119" s="177"/>
      <c r="AC119" s="177"/>
      <c r="AD119" s="177"/>
      <c r="AE119" s="177"/>
      <c r="AF119" s="1">
        <v>7</v>
      </c>
      <c r="AG119" s="177"/>
      <c r="AH119" s="123" t="str">
        <f t="shared" ca="1" si="303"/>
        <v/>
      </c>
      <c r="AI119" s="80" t="str">
        <f t="shared" ca="1" si="304"/>
        <v/>
      </c>
      <c r="AJ119" s="76" t="str">
        <f t="shared" ca="1" si="305"/>
        <v/>
      </c>
      <c r="AK119" s="177"/>
      <c r="AL119" s="95" t="str">
        <f t="shared" ca="1" si="309"/>
        <v/>
      </c>
      <c r="AM119" s="80" t="str">
        <f t="shared" ca="1" si="310"/>
        <v/>
      </c>
      <c r="AN119" s="76" t="str">
        <f t="shared" ca="1" si="311"/>
        <v/>
      </c>
    </row>
    <row r="120" spans="4:40" ht="12.75">
      <c r="D120" s="60"/>
      <c r="E120" s="60"/>
      <c r="F120" s="87" t="s">
        <v>713</v>
      </c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  <c r="AA120" s="177"/>
      <c r="AB120" s="177"/>
      <c r="AC120" s="177"/>
      <c r="AD120" s="177"/>
      <c r="AE120" s="177"/>
      <c r="AF120" s="1">
        <v>6</v>
      </c>
      <c r="AG120" s="177"/>
      <c r="AH120" s="123" t="str">
        <f t="shared" ca="1" si="303"/>
        <v/>
      </c>
      <c r="AI120" s="80" t="str">
        <f t="shared" ca="1" si="304"/>
        <v/>
      </c>
      <c r="AJ120" s="76" t="str">
        <f t="shared" ca="1" si="305"/>
        <v/>
      </c>
      <c r="AK120" s="177"/>
      <c r="AL120" s="95" t="str">
        <f t="shared" ca="1" si="309"/>
        <v/>
      </c>
      <c r="AM120" s="80" t="str">
        <f t="shared" ca="1" si="310"/>
        <v/>
      </c>
      <c r="AN120" s="76" t="str">
        <f t="shared" ca="1" si="311"/>
        <v/>
      </c>
    </row>
    <row r="121" spans="4:40" ht="12.75">
      <c r="D121" s="60"/>
      <c r="E121" s="60"/>
      <c r="F121" s="87" t="s">
        <v>716</v>
      </c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  <c r="AA121" s="177"/>
      <c r="AB121" s="177"/>
      <c r="AC121" s="177"/>
      <c r="AD121" s="177"/>
      <c r="AE121" s="177"/>
      <c r="AF121" s="1">
        <v>5</v>
      </c>
      <c r="AG121" s="177"/>
      <c r="AH121" s="123" t="str">
        <f t="shared" ca="1" si="303"/>
        <v/>
      </c>
      <c r="AI121" s="80" t="str">
        <f t="shared" ca="1" si="304"/>
        <v/>
      </c>
      <c r="AJ121" s="76" t="str">
        <f t="shared" ca="1" si="305"/>
        <v/>
      </c>
      <c r="AK121" s="177"/>
      <c r="AL121" s="95" t="str">
        <f t="shared" ca="1" si="309"/>
        <v/>
      </c>
      <c r="AM121" s="80" t="str">
        <f t="shared" ca="1" si="310"/>
        <v/>
      </c>
      <c r="AN121" s="76" t="str">
        <f t="shared" ca="1" si="311"/>
        <v/>
      </c>
    </row>
    <row r="122" spans="4:40" ht="12.75">
      <c r="D122" s="60"/>
      <c r="E122" s="60"/>
      <c r="F122" s="87" t="s">
        <v>719</v>
      </c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  <c r="AA122" s="177"/>
      <c r="AB122" s="177"/>
      <c r="AC122" s="177"/>
      <c r="AD122" s="177"/>
      <c r="AE122" s="177"/>
      <c r="AF122" s="1">
        <v>4</v>
      </c>
      <c r="AG122" s="177"/>
      <c r="AH122" s="123" t="str">
        <f t="shared" ca="1" si="303"/>
        <v/>
      </c>
      <c r="AI122" s="80" t="str">
        <f t="shared" ca="1" si="304"/>
        <v/>
      </c>
      <c r="AJ122" s="76" t="str">
        <f t="shared" ca="1" si="305"/>
        <v/>
      </c>
      <c r="AK122" s="177"/>
      <c r="AL122" s="95" t="str">
        <f t="shared" ca="1" si="309"/>
        <v/>
      </c>
      <c r="AM122" s="80" t="str">
        <f t="shared" ca="1" si="310"/>
        <v/>
      </c>
      <c r="AN122" s="76" t="str">
        <f t="shared" ca="1" si="311"/>
        <v/>
      </c>
    </row>
    <row r="123" spans="4:40" ht="12.75">
      <c r="D123" s="60"/>
      <c r="E123" s="60"/>
      <c r="F123" s="87" t="s">
        <v>722</v>
      </c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77"/>
      <c r="AF123" s="1">
        <v>3</v>
      </c>
      <c r="AG123" s="177"/>
      <c r="AH123" s="123" t="str">
        <f t="shared" ca="1" si="303"/>
        <v/>
      </c>
      <c r="AI123" s="80" t="str">
        <f t="shared" ca="1" si="304"/>
        <v/>
      </c>
      <c r="AJ123" s="76" t="str">
        <f t="shared" ca="1" si="305"/>
        <v/>
      </c>
      <c r="AK123" s="177"/>
      <c r="AL123" s="95" t="str">
        <f t="shared" ca="1" si="309"/>
        <v/>
      </c>
      <c r="AM123" s="80" t="str">
        <f t="shared" ca="1" si="310"/>
        <v/>
      </c>
      <c r="AN123" s="76" t="str">
        <f t="shared" ca="1" si="311"/>
        <v/>
      </c>
    </row>
    <row r="124" spans="4:40" ht="12.75">
      <c r="D124" s="60"/>
      <c r="E124" s="60"/>
      <c r="F124" s="87" t="s">
        <v>725</v>
      </c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">
        <v>2</v>
      </c>
      <c r="AG124" s="177"/>
      <c r="AH124" s="123" t="str">
        <f t="shared" ca="1" si="303"/>
        <v/>
      </c>
      <c r="AI124" s="80" t="str">
        <f t="shared" ca="1" si="304"/>
        <v/>
      </c>
      <c r="AJ124" s="76" t="str">
        <f t="shared" ca="1" si="305"/>
        <v/>
      </c>
      <c r="AK124" s="177"/>
      <c r="AL124" s="95" t="str">
        <f t="shared" ca="1" si="309"/>
        <v/>
      </c>
      <c r="AM124" s="80" t="str">
        <f t="shared" ca="1" si="310"/>
        <v/>
      </c>
      <c r="AN124" s="76" t="str">
        <f t="shared" ca="1" si="311"/>
        <v/>
      </c>
    </row>
    <row r="125" spans="4:40" ht="12.75">
      <c r="D125" s="60"/>
      <c r="E125" s="60"/>
      <c r="F125" s="96" t="s">
        <v>728</v>
      </c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">
        <v>1</v>
      </c>
      <c r="AG125" s="177"/>
      <c r="AH125" s="124" t="str">
        <f t="shared" ca="1" si="303"/>
        <v/>
      </c>
      <c r="AI125" s="103" t="str">
        <f t="shared" ca="1" si="304"/>
        <v/>
      </c>
      <c r="AJ125" s="99" t="str">
        <f t="shared" ca="1" si="305"/>
        <v/>
      </c>
      <c r="AK125" s="177"/>
      <c r="AL125" s="141" t="str">
        <f t="shared" ca="1" si="309"/>
        <v/>
      </c>
      <c r="AM125" s="103" t="str">
        <f t="shared" ca="1" si="310"/>
        <v/>
      </c>
      <c r="AN125" s="99" t="str">
        <f t="shared" ca="1" si="311"/>
        <v/>
      </c>
    </row>
    <row r="126" spans="4:40" ht="12.75">
      <c r="D126" s="1"/>
      <c r="E126" s="1"/>
      <c r="F126" s="76" t="s">
        <v>731</v>
      </c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09" t="e">
        <f t="shared" ref="AH126:AJ126" si="312">H108-K109</f>
        <v>#REF!</v>
      </c>
      <c r="AI126" s="109" t="e">
        <f t="shared" si="312"/>
        <v>#REF!</v>
      </c>
      <c r="AJ126" s="109" t="e">
        <f t="shared" si="312"/>
        <v>#REF!</v>
      </c>
      <c r="AK126" s="177"/>
      <c r="AL126" s="109" t="e">
        <f t="shared" ref="AL126:AN126" si="313">X108-AD108</f>
        <v>#REF!</v>
      </c>
      <c r="AM126" s="109" t="e">
        <f t="shared" si="313"/>
        <v>#REF!</v>
      </c>
      <c r="AN126" s="109" t="e">
        <f t="shared" si="313"/>
        <v>#REF!</v>
      </c>
    </row>
  </sheetData>
  <mergeCells count="52">
    <mergeCell ref="K52:M52"/>
    <mergeCell ref="AP92:AR92"/>
    <mergeCell ref="AH112:AJ112"/>
    <mergeCell ref="AL112:AN112"/>
    <mergeCell ref="N52:R52"/>
    <mergeCell ref="S52:W52"/>
    <mergeCell ref="AH72:AJ72"/>
    <mergeCell ref="AL72:AN72"/>
    <mergeCell ref="AH73:AJ73"/>
    <mergeCell ref="AL73:AN73"/>
    <mergeCell ref="H91:AR91"/>
    <mergeCell ref="AH113:AJ113"/>
    <mergeCell ref="AL113:AN113"/>
    <mergeCell ref="H92:J92"/>
    <mergeCell ref="K92:M92"/>
    <mergeCell ref="N92:R92"/>
    <mergeCell ref="S92:W92"/>
    <mergeCell ref="X92:Z92"/>
    <mergeCell ref="AA92:AC92"/>
    <mergeCell ref="AD92:AF92"/>
    <mergeCell ref="AH92:AJ92"/>
    <mergeCell ref="AL92:AN92"/>
    <mergeCell ref="AL3:AN3"/>
    <mergeCell ref="AP3:AR3"/>
    <mergeCell ref="H2:AR2"/>
    <mergeCell ref="H3:J3"/>
    <mergeCell ref="K3:M3"/>
    <mergeCell ref="N3:R3"/>
    <mergeCell ref="S3:W3"/>
    <mergeCell ref="X3:Z3"/>
    <mergeCell ref="AA3:AC3"/>
    <mergeCell ref="H25:J27"/>
    <mergeCell ref="H29:J30"/>
    <mergeCell ref="AD3:AF3"/>
    <mergeCell ref="AH3:AJ3"/>
    <mergeCell ref="AH23:AJ25"/>
    <mergeCell ref="AL23:AN25"/>
    <mergeCell ref="AP23:AR26"/>
    <mergeCell ref="X26:Z27"/>
    <mergeCell ref="X28:Z29"/>
    <mergeCell ref="X52:Z52"/>
    <mergeCell ref="AA52:AC52"/>
    <mergeCell ref="AL52:AN52"/>
    <mergeCell ref="AP52:AR52"/>
    <mergeCell ref="AD52:AF52"/>
    <mergeCell ref="AH52:AJ52"/>
    <mergeCell ref="AH33:AJ33"/>
    <mergeCell ref="AL33:AN33"/>
    <mergeCell ref="AH34:AJ34"/>
    <mergeCell ref="AL34:AN34"/>
    <mergeCell ref="H51:AR51"/>
    <mergeCell ref="H52:J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41"/>
  <sheetViews>
    <sheetView workbookViewId="0"/>
  </sheetViews>
  <sheetFormatPr defaultColWidth="12.5703125" defaultRowHeight="15.75" customHeight="1"/>
  <cols>
    <col min="1" max="1" width="2.7109375" customWidth="1"/>
    <col min="2" max="2" width="25.7109375" customWidth="1"/>
  </cols>
  <sheetData>
    <row r="1" spans="1:13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</row>
    <row r="2" spans="1:13" ht="15.75" customHeight="1">
      <c r="A2" s="147"/>
      <c r="B2" s="215" t="s">
        <v>760</v>
      </c>
      <c r="C2" s="216"/>
      <c r="D2" s="216"/>
      <c r="E2" s="216"/>
      <c r="F2" s="216"/>
      <c r="G2" s="216"/>
      <c r="H2" s="216"/>
      <c r="I2" s="216"/>
      <c r="J2" s="217"/>
      <c r="K2" s="147"/>
      <c r="L2" s="147"/>
      <c r="M2" s="147"/>
    </row>
    <row r="3" spans="1:13" ht="15.75" customHeight="1">
      <c r="A3" s="147"/>
      <c r="B3" s="218" t="s">
        <v>761</v>
      </c>
      <c r="C3" s="220" t="s">
        <v>762</v>
      </c>
      <c r="D3" s="221"/>
      <c r="E3" s="221"/>
      <c r="F3" s="222"/>
      <c r="G3" s="220" t="s">
        <v>763</v>
      </c>
      <c r="H3" s="221"/>
      <c r="I3" s="221"/>
      <c r="J3" s="223"/>
      <c r="K3" s="147"/>
      <c r="L3" s="147"/>
      <c r="M3" s="147"/>
    </row>
    <row r="4" spans="1:13">
      <c r="A4" s="147"/>
      <c r="B4" s="219"/>
      <c r="C4" s="148" t="s">
        <v>764</v>
      </c>
      <c r="D4" s="149" t="s">
        <v>765</v>
      </c>
      <c r="E4" s="150" t="s">
        <v>766</v>
      </c>
      <c r="F4" s="151" t="s">
        <v>767</v>
      </c>
      <c r="G4" s="148" t="s">
        <v>768</v>
      </c>
      <c r="H4" s="149" t="s">
        <v>765</v>
      </c>
      <c r="I4" s="150" t="s">
        <v>766</v>
      </c>
      <c r="J4" s="152" t="s">
        <v>767</v>
      </c>
      <c r="K4" s="147"/>
      <c r="L4" s="147"/>
      <c r="M4" s="147"/>
    </row>
    <row r="5" spans="1:13">
      <c r="A5" s="147"/>
      <c r="B5" s="153" t="s">
        <v>688</v>
      </c>
      <c r="C5" s="60">
        <f ca="1">VLOOKUP(MONTH(TODAY()),'CORE METRICS +'!D5:'CORE METRICS +'!AR17,21)</f>
        <v>7</v>
      </c>
      <c r="D5" s="60" t="e">
        <f ca="1">VLOOKUP(MONTH(TODAY()),'CORE METRICS +'!D5:'CORE METRICS +'!AR17,27)</f>
        <v>#REF!</v>
      </c>
      <c r="E5" s="60" t="e">
        <f t="shared" ref="E5:E7" ca="1" si="0">D5-C5</f>
        <v>#REF!</v>
      </c>
      <c r="F5" s="154" t="e">
        <f t="shared" ref="F5:F7" ca="1" si="1">E5/C5</f>
        <v>#REF!</v>
      </c>
      <c r="G5" s="60" t="e">
        <f t="shared" ref="G5:G7" ca="1" si="2">H5-I5</f>
        <v>#REF!</v>
      </c>
      <c r="H5" s="60" t="e">
        <f t="array" aca="1" ref="H5" ca="1">SUM(INDEX('CORE METRICS +'!AD6:'CORE METRICS +'!AD17,0))</f>
        <v>#REF!</v>
      </c>
      <c r="I5" s="60" t="e">
        <f ca="1">'CORE METRICS +'!AL19</f>
        <v>#REF!</v>
      </c>
      <c r="J5" s="155" t="e">
        <f t="shared" ref="J5:J7" ca="1" si="3">I5/G5</f>
        <v>#REF!</v>
      </c>
      <c r="K5" s="147"/>
      <c r="L5" s="147"/>
      <c r="M5" s="147"/>
    </row>
    <row r="6" spans="1:13">
      <c r="A6" s="147"/>
      <c r="B6" s="153" t="s">
        <v>769</v>
      </c>
      <c r="C6" s="60">
        <f ca="1">VLOOKUP(MONTH(TODAY()),'CORE METRICS +'!D5:'CORE METRICS +'!AR17,22)</f>
        <v>113.5</v>
      </c>
      <c r="D6" s="60" t="e">
        <f ca="1">VLOOKUP(MONTH(TODAY()),'CORE METRICS +'!D5:'CORE METRICS +'!AR17,28)</f>
        <v>#REF!</v>
      </c>
      <c r="E6" s="60" t="e">
        <f t="shared" ca="1" si="0"/>
        <v>#REF!</v>
      </c>
      <c r="F6" s="154" t="e">
        <f t="shared" ca="1" si="1"/>
        <v>#REF!</v>
      </c>
      <c r="G6" s="60" t="e">
        <f t="shared" ca="1" si="2"/>
        <v>#REF!</v>
      </c>
      <c r="H6" s="156" t="e">
        <f t="array" aca="1" ref="H6" ca="1">SUM(INDEX('CORE METRICS +'!AE6:'CORE METRICS +'!AE17,0))</f>
        <v>#REF!</v>
      </c>
      <c r="I6" s="60" t="e">
        <f ca="1">'CORE METRICS +'!AM19</f>
        <v>#REF!</v>
      </c>
      <c r="J6" s="155" t="e">
        <f t="shared" ca="1" si="3"/>
        <v>#REF!</v>
      </c>
      <c r="K6" s="147"/>
      <c r="L6" s="147"/>
      <c r="M6" s="147"/>
    </row>
    <row r="7" spans="1:13">
      <c r="A7" s="147"/>
      <c r="B7" s="157" t="s">
        <v>770</v>
      </c>
      <c r="C7" s="158">
        <f ca="1">VLOOKUP(MONTH(TODAY()),'CORE METRICS +'!D5:'CORE METRICS +'!AR17,23)</f>
        <v>238422.69342857139</v>
      </c>
      <c r="D7" s="158" t="e">
        <f ca="1">VLOOKUP(MONTH(TODAY()),'CORE METRICS +'!D5:'CORE METRICS +'!AR17,29)</f>
        <v>#REF!</v>
      </c>
      <c r="E7" s="159" t="e">
        <f t="shared" ca="1" si="0"/>
        <v>#REF!</v>
      </c>
      <c r="F7" s="160" t="e">
        <f t="shared" ca="1" si="1"/>
        <v>#REF!</v>
      </c>
      <c r="G7" s="159" t="e">
        <f t="shared" ca="1" si="2"/>
        <v>#REF!</v>
      </c>
      <c r="H7" s="158" t="e">
        <f t="array" aca="1" ref="H7" ca="1">SUM(INDEX('CORE METRICS +'!AD6:'CORE METRICS +'!AF17,0))</f>
        <v>#REF!</v>
      </c>
      <c r="I7" s="158" t="e">
        <f ca="1">'CORE METRICS +'!AN19</f>
        <v>#REF!</v>
      </c>
      <c r="J7" s="161" t="e">
        <f t="shared" ca="1" si="3"/>
        <v>#REF!</v>
      </c>
      <c r="K7" s="147"/>
      <c r="L7" s="147"/>
      <c r="M7" s="147"/>
    </row>
    <row r="8" spans="1:13">
      <c r="A8" s="147"/>
      <c r="B8" s="153" t="s">
        <v>678</v>
      </c>
      <c r="C8" s="162"/>
      <c r="D8" s="60" t="e">
        <f ca="1">VLOOKUP(MONTH(TODAY()),'CORE METRICS +'!D5:'CORE METRICS +'!AR17,11)</f>
        <v>#REF!</v>
      </c>
      <c r="E8" s="162"/>
      <c r="F8" s="163"/>
      <c r="G8" s="162"/>
      <c r="H8" s="60" t="e">
        <f t="array" aca="1" ref="H8" ca="1">SUM(INDEX('CORE METRICS +'!N6:'CORE METRICS +'!N17,0))</f>
        <v>#REF!</v>
      </c>
      <c r="I8" s="162"/>
      <c r="J8" s="164"/>
      <c r="K8" s="147"/>
      <c r="L8" s="147"/>
      <c r="M8" s="147"/>
    </row>
    <row r="9" spans="1:13">
      <c r="A9" s="147"/>
      <c r="B9" s="153" t="s">
        <v>679</v>
      </c>
      <c r="C9" s="162"/>
      <c r="D9" s="60" t="e">
        <f ca="1">VLOOKUP(MONTH(TODAY()),'CORE METRICS +'!D5:'CORE METRICS +'!AR17,12)</f>
        <v>#REF!</v>
      </c>
      <c r="E9" s="162"/>
      <c r="F9" s="163"/>
      <c r="G9" s="162"/>
      <c r="H9" s="60" t="e">
        <f t="array" aca="1" ref="H9" ca="1">SUM(INDEX('CORE METRICS +'!O6:'CORE METRICS +'!O17,0))</f>
        <v>#REF!</v>
      </c>
      <c r="I9" s="162"/>
      <c r="J9" s="164"/>
      <c r="K9" s="147"/>
      <c r="L9" s="147"/>
      <c r="M9" s="147"/>
    </row>
    <row r="10" spans="1:13">
      <c r="A10" s="147"/>
      <c r="B10" s="153" t="s">
        <v>680</v>
      </c>
      <c r="C10" s="162"/>
      <c r="D10" s="162"/>
      <c r="E10" s="162"/>
      <c r="F10" s="163"/>
      <c r="G10" s="162"/>
      <c r="H10" s="60" t="e">
        <f ca="1">'CORE METRICS +'!P19</f>
        <v>#REF!</v>
      </c>
      <c r="I10" s="162"/>
      <c r="J10" s="164"/>
      <c r="K10" s="147"/>
      <c r="L10" s="147"/>
      <c r="M10" s="147"/>
    </row>
    <row r="11" spans="1:13">
      <c r="A11" s="147"/>
      <c r="B11" s="153" t="s">
        <v>771</v>
      </c>
      <c r="C11" s="162"/>
      <c r="D11" s="162"/>
      <c r="E11" s="162"/>
      <c r="F11" s="163"/>
      <c r="G11" s="162"/>
      <c r="H11" s="60" t="str">
        <f ca="1">'CORE METRICS +'!Q19</f>
        <v/>
      </c>
      <c r="I11" s="162"/>
      <c r="J11" s="164"/>
      <c r="K11" s="147"/>
      <c r="L11" s="147"/>
      <c r="M11" s="147"/>
    </row>
    <row r="12" spans="1:13">
      <c r="A12" s="147"/>
      <c r="B12" s="157" t="s">
        <v>772</v>
      </c>
      <c r="C12" s="165"/>
      <c r="D12" s="165"/>
      <c r="E12" s="165"/>
      <c r="F12" s="166"/>
      <c r="G12" s="165"/>
      <c r="H12" s="159" t="e">
        <f ca="1">'CORE METRICS +'!R19</f>
        <v>#REF!</v>
      </c>
      <c r="I12" s="165"/>
      <c r="J12" s="167"/>
      <c r="K12" s="147"/>
      <c r="L12" s="147"/>
      <c r="M12" s="147"/>
    </row>
    <row r="13" spans="1:13">
      <c r="A13" s="147"/>
      <c r="B13" s="153" t="s">
        <v>683</v>
      </c>
      <c r="C13" s="162"/>
      <c r="D13" s="60" t="e">
        <f ca="1">VLOOKUP(MONTH(TODAY()),'CORE METRICS +'!D5:'CORE METRICS +'!AR17,16)</f>
        <v>#REF!</v>
      </c>
      <c r="E13" s="162"/>
      <c r="F13" s="163"/>
      <c r="G13" s="162"/>
      <c r="H13" s="60" t="e">
        <f t="array" aca="1" ref="H13" ca="1">SUM(INDEX('CORE METRICS +'!S6:'CORE METRICS +'!S17,0))</f>
        <v>#REF!</v>
      </c>
      <c r="I13" s="162"/>
      <c r="J13" s="164"/>
      <c r="K13" s="147"/>
      <c r="L13" s="147"/>
      <c r="M13" s="147"/>
    </row>
    <row r="14" spans="1:13">
      <c r="A14" s="147"/>
      <c r="B14" s="153" t="s">
        <v>684</v>
      </c>
      <c r="C14" s="162"/>
      <c r="D14" s="60" t="e">
        <f ca="1">VLOOKUP(MONTH(TODAY()),'CORE METRICS +'!D5:'CORE METRICS +'!AR17,17)</f>
        <v>#REF!</v>
      </c>
      <c r="E14" s="162"/>
      <c r="F14" s="163"/>
      <c r="G14" s="162"/>
      <c r="H14" s="60" t="e">
        <f t="array" aca="1" ref="H14" ca="1">SUM(INDEX('CORE METRICS +'!T6:'CORE METRICS +'!T17,0))</f>
        <v>#REF!</v>
      </c>
      <c r="I14" s="162"/>
      <c r="J14" s="164"/>
      <c r="K14" s="147"/>
      <c r="L14" s="147"/>
      <c r="M14" s="147"/>
    </row>
    <row r="15" spans="1:13">
      <c r="A15" s="147"/>
      <c r="B15" s="153" t="s">
        <v>685</v>
      </c>
      <c r="C15" s="162"/>
      <c r="D15" s="162"/>
      <c r="E15" s="162"/>
      <c r="F15" s="163"/>
      <c r="G15" s="162"/>
      <c r="H15" s="60" t="e">
        <f ca="1">'CORE METRICS +'!U19</f>
        <v>#REF!</v>
      </c>
      <c r="I15" s="162"/>
      <c r="J15" s="164"/>
      <c r="K15" s="147"/>
      <c r="L15" s="147"/>
      <c r="M15" s="147"/>
    </row>
    <row r="16" spans="1:13">
      <c r="A16" s="147"/>
      <c r="B16" s="153" t="s">
        <v>773</v>
      </c>
      <c r="C16" s="162"/>
      <c r="D16" s="162"/>
      <c r="E16" s="162"/>
      <c r="F16" s="163"/>
      <c r="G16" s="162"/>
      <c r="H16" s="60" t="str">
        <f ca="1">'CORE METRICS +'!V19</f>
        <v/>
      </c>
      <c r="I16" s="162"/>
      <c r="J16" s="164"/>
      <c r="K16" s="147"/>
      <c r="L16" s="147"/>
      <c r="M16" s="147"/>
    </row>
    <row r="17" spans="1:13">
      <c r="A17" s="147"/>
      <c r="B17" s="157" t="s">
        <v>774</v>
      </c>
      <c r="C17" s="165"/>
      <c r="D17" s="165"/>
      <c r="E17" s="165"/>
      <c r="F17" s="166"/>
      <c r="G17" s="165"/>
      <c r="H17" s="159" t="e">
        <f ca="1">'CORE METRICS +'!W19</f>
        <v>#REF!</v>
      </c>
      <c r="I17" s="165"/>
      <c r="J17" s="167"/>
      <c r="K17" s="147"/>
      <c r="L17" s="147"/>
      <c r="M17" s="147"/>
    </row>
    <row r="18" spans="1:13">
      <c r="A18" s="147"/>
      <c r="B18" s="153" t="s">
        <v>775</v>
      </c>
      <c r="C18" s="162"/>
      <c r="D18" s="162"/>
      <c r="E18" s="162"/>
      <c r="F18" s="163"/>
      <c r="G18" s="162"/>
      <c r="H18" s="60" t="e">
        <f>COUNTIFS(#REF!,"&lt;&gt;",#REF!,"&lt;&gt;",#REF!,"")</f>
        <v>#REF!</v>
      </c>
      <c r="I18" s="162"/>
      <c r="J18" s="164"/>
      <c r="K18" s="147"/>
      <c r="L18" s="147"/>
      <c r="M18" s="147"/>
    </row>
    <row r="19" spans="1:13">
      <c r="A19" s="147"/>
      <c r="B19" s="153" t="s">
        <v>776</v>
      </c>
      <c r="C19" s="162"/>
      <c r="D19" s="162"/>
      <c r="E19" s="162"/>
      <c r="F19" s="163"/>
      <c r="G19" s="162"/>
      <c r="H19" s="60" t="e">
        <f>COUNTIFS(#REF!,"&lt;&gt;",#REF!,"") - COUNTIFS(#REF!,"&lt;&gt;",#REF!,"&lt;&gt;",#REF!,"")</f>
        <v>#REF!</v>
      </c>
      <c r="I19" s="162"/>
      <c r="J19" s="164"/>
      <c r="K19" s="147"/>
      <c r="L19" s="147"/>
      <c r="M19" s="147"/>
    </row>
    <row r="20" spans="1:13">
      <c r="A20" s="147"/>
      <c r="B20" s="153" t="s">
        <v>777</v>
      </c>
      <c r="C20" s="162"/>
      <c r="D20" s="162"/>
      <c r="E20" s="162"/>
      <c r="F20" s="163"/>
      <c r="G20" s="162"/>
      <c r="H20" s="60" t="e">
        <f>COUNTIFS(#REF!,"&lt;&gt;",#REF!,"")</f>
        <v>#REF!</v>
      </c>
      <c r="I20" s="162"/>
      <c r="J20" s="164"/>
      <c r="K20" s="147"/>
      <c r="L20" s="147"/>
      <c r="M20" s="147"/>
    </row>
    <row r="21" spans="1:13">
      <c r="A21" s="147"/>
      <c r="B21" s="153" t="s">
        <v>778</v>
      </c>
      <c r="C21" s="162"/>
      <c r="D21" s="162"/>
      <c r="E21" s="162"/>
      <c r="F21" s="163"/>
      <c r="G21" s="162"/>
      <c r="H21" s="60" t="s">
        <v>779</v>
      </c>
      <c r="I21" s="162"/>
      <c r="J21" s="164"/>
      <c r="K21" s="147"/>
      <c r="L21" s="147"/>
      <c r="M21" s="147"/>
    </row>
    <row r="22" spans="1:13">
      <c r="A22" s="147"/>
      <c r="B22" s="153" t="s">
        <v>780</v>
      </c>
      <c r="C22" s="162"/>
      <c r="D22" s="162"/>
      <c r="E22" s="162"/>
      <c r="F22" s="163"/>
      <c r="G22" s="162"/>
      <c r="H22" s="168" t="e">
        <f ca="1">DATEDIF(TODAY(),"8/12/24","D")</f>
        <v>#NUM!</v>
      </c>
      <c r="I22" s="162"/>
      <c r="J22" s="164"/>
      <c r="K22" s="169"/>
      <c r="L22" s="147"/>
      <c r="M22" s="147"/>
    </row>
    <row r="23" spans="1:13">
      <c r="A23" s="147"/>
      <c r="B23" s="153" t="s">
        <v>781</v>
      </c>
      <c r="C23" s="162"/>
      <c r="D23" s="162"/>
      <c r="E23" s="162"/>
      <c r="F23" s="163"/>
      <c r="G23" s="162"/>
      <c r="H23" s="60" t="s">
        <v>782</v>
      </c>
      <c r="I23" s="162"/>
      <c r="J23" s="164"/>
      <c r="K23" s="147"/>
      <c r="L23" s="147"/>
      <c r="M23" s="147"/>
    </row>
    <row r="24" spans="1:13">
      <c r="A24" s="147"/>
      <c r="B24" s="157" t="s">
        <v>780</v>
      </c>
      <c r="C24" s="165"/>
      <c r="D24" s="165"/>
      <c r="E24" s="165"/>
      <c r="F24" s="166"/>
      <c r="G24" s="165"/>
      <c r="H24" s="159" t="e">
        <f ca="1">DATEDIF(TODAY(),"09/9/24","D")</f>
        <v>#NUM!</v>
      </c>
      <c r="I24" s="165"/>
      <c r="J24" s="167"/>
      <c r="K24" s="147"/>
      <c r="L24" s="170"/>
      <c r="M24" s="147"/>
    </row>
    <row r="25" spans="1:13">
      <c r="A25" s="147"/>
      <c r="B25" s="157" t="s">
        <v>783</v>
      </c>
      <c r="C25" s="165"/>
      <c r="D25" s="165"/>
      <c r="E25" s="165"/>
      <c r="F25" s="166"/>
      <c r="G25" s="159">
        <v>8</v>
      </c>
      <c r="H25" s="171" t="e">
        <f ca="1">H22/7</f>
        <v>#NUM!</v>
      </c>
      <c r="I25" s="165"/>
      <c r="J25" s="167"/>
      <c r="K25" s="147"/>
      <c r="L25" s="147"/>
      <c r="M25" s="147"/>
    </row>
    <row r="26" spans="1:13">
      <c r="A26" s="147"/>
      <c r="B26" s="153" t="s">
        <v>784</v>
      </c>
      <c r="C26" s="162"/>
      <c r="D26" s="60" t="str">
        <f ca="1">IFERROR(__xludf.DUMMYFUNCTION("IMPORTRANGE(""https://docs.google.com/spreadsheets/d/1ej_V9sTbyoD-JmhHzgROxzKOy8bjZQHzmirCykaz6MQ/edit#gid=1962875292"",""Data!K5"")"),"#REF!")</f>
        <v>#REF!</v>
      </c>
      <c r="E26" s="162"/>
      <c r="F26" s="163"/>
      <c r="G26" s="162"/>
      <c r="H26" s="60" t="str">
        <f ca="1">IFERROR(__xludf.DUMMYFUNCTION("IMPORTRANGE(""https://docs.google.com/spreadsheets/d/1ej_V9sTbyoD-JmhHzgROxzKOy8bjZQHzmirCykaz6MQ/edit#gid=1962875292"",""Data!L5:L6"")"),"#REF!")</f>
        <v>#REF!</v>
      </c>
      <c r="I26" s="162"/>
      <c r="J26" s="164"/>
      <c r="K26" s="147"/>
      <c r="L26" s="147"/>
      <c r="M26" s="147"/>
    </row>
    <row r="27" spans="1:13">
      <c r="A27" s="147"/>
      <c r="B27" s="172" t="s">
        <v>785</v>
      </c>
      <c r="C27" s="173"/>
      <c r="D27" s="173"/>
      <c r="E27" s="173"/>
      <c r="F27" s="174"/>
      <c r="G27" s="173"/>
      <c r="H27" s="175"/>
      <c r="I27" s="173"/>
      <c r="J27" s="176"/>
      <c r="K27" s="147"/>
      <c r="L27" s="147"/>
      <c r="M27" s="147"/>
    </row>
    <row r="28" spans="1:13">
      <c r="A28" s="147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</row>
    <row r="29" spans="1:13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</row>
    <row r="30" spans="1:13">
      <c r="A30" s="147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</row>
    <row r="31" spans="1:13">
      <c r="A31" s="147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</row>
    <row r="32" spans="1:13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</row>
    <row r="33" spans="1:13">
      <c r="A33" s="147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</row>
    <row r="34" spans="1:13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</row>
    <row r="35" spans="1:13">
      <c r="A35" s="147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</row>
    <row r="36" spans="1:13">
      <c r="A36" s="147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</row>
    <row r="37" spans="1:13" ht="12.75">
      <c r="A37" s="147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</row>
    <row r="38" spans="1:13" ht="12.75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</row>
    <row r="39" spans="1:13" ht="12.75">
      <c r="A39" s="147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</row>
    <row r="40" spans="1:13" ht="12.75">
      <c r="A40" s="147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</row>
    <row r="41" spans="1:13" ht="12.75">
      <c r="A41" s="147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</row>
  </sheetData>
  <mergeCells count="4">
    <mergeCell ref="B2:J2"/>
    <mergeCell ref="B3:B4"/>
    <mergeCell ref="C3:F3"/>
    <mergeCell ref="G3:J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</dc:creator>
  <cp:keywords/>
  <dc:description/>
  <cp:lastModifiedBy>Selim Ulgen</cp:lastModifiedBy>
  <cp:revision/>
  <dcterms:created xsi:type="dcterms:W3CDTF">2025-01-29T20:28:05Z</dcterms:created>
  <dcterms:modified xsi:type="dcterms:W3CDTF">2025-03-25T16:22:05Z</dcterms:modified>
  <cp:category/>
  <cp:contentStatus/>
</cp:coreProperties>
</file>